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5012E7D198B737B/Documents/"/>
    </mc:Choice>
  </mc:AlternateContent>
  <xr:revisionPtr revIDLastSave="139" documentId="8_{21D13F53-249D-4979-9B77-4D1F23E46FE3}" xr6:coauthVersionLast="47" xr6:coauthVersionMax="47" xr10:uidLastSave="{B444AC1E-A2A1-4F65-9F66-E0A52EB4EA33}"/>
  <bookViews>
    <workbookView xWindow="-108" yWindow="-108" windowWidth="23256" windowHeight="12456" tabRatio="500" firstSheet="9" activeTab="13" xr2:uid="{00000000-000D-0000-FFFF-FFFF00000000}"/>
  </bookViews>
  <sheets>
    <sheet name="Dashboard" sheetId="1" r:id="rId1"/>
    <sheet name="Task Brief" sheetId="2" r:id="rId2"/>
    <sheet name="Daily Energy" sheetId="3" r:id="rId3"/>
    <sheet name="Data Dictionary" sheetId="4" r:id="rId4"/>
    <sheet name="Data Validation" sheetId="5" r:id="rId5"/>
    <sheet name="Analysis Data" sheetId="6" r:id="rId6"/>
    <sheet name="KPI Summary" sheetId="7" r:id="rId7"/>
    <sheet name="Monthly Analysis" sheetId="8" r:id="rId8"/>
    <sheet name="Analysis Summary" sheetId="9" r:id="rId9"/>
    <sheet name="Wasteful Days" sheetId="10" r:id="rId10"/>
    <sheet name="Savings Table" sheetId="11" r:id="rId11"/>
    <sheet name="Energy Plan" sheetId="12" r:id="rId12"/>
    <sheet name="QA Checks" sheetId="13" r:id="rId13"/>
    <sheet name="AI Use Log" sheetId="14" r:id="rId14"/>
  </sheets>
  <definedNames>
    <definedName name="_xlnm._FilterDatabase" localSheetId="2" hidden="1">'Daily Energy'!$A$1:$J$366</definedName>
    <definedName name="_xlnm.Print_Area" localSheetId="0">Dashboard!$A$1:$N$70</definedName>
    <definedName name="_xlnm.Print_Area" localSheetId="11">'Energy Plan'!$A$1:$F$28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50" i="13" l="1"/>
  <c r="E50" i="13" s="1"/>
  <c r="G50" i="13" s="1"/>
  <c r="C15" i="13"/>
  <c r="D23" i="12"/>
  <c r="C23" i="12"/>
  <c r="D22" i="12"/>
  <c r="C22" i="12"/>
  <c r="D21" i="12"/>
  <c r="C21" i="12"/>
  <c r="E20" i="12"/>
  <c r="D20" i="12"/>
  <c r="C20" i="12"/>
  <c r="D19" i="12"/>
  <c r="C19" i="12"/>
  <c r="D11" i="11"/>
  <c r="D53" i="13" s="1"/>
  <c r="E53" i="13" s="1"/>
  <c r="G53" i="13" s="1"/>
  <c r="D10" i="11"/>
  <c r="D52" i="13" s="1"/>
  <c r="E52" i="13" s="1"/>
  <c r="G52" i="13" s="1"/>
  <c r="D9" i="11"/>
  <c r="D51" i="13" s="1"/>
  <c r="E51" i="13" s="1"/>
  <c r="G51" i="13" s="1"/>
  <c r="D8" i="11"/>
  <c r="D7" i="11"/>
  <c r="D49" i="13" s="1"/>
  <c r="E49" i="13" s="1"/>
  <c r="G49" i="13" s="1"/>
  <c r="B5" i="8"/>
  <c r="A5" i="8"/>
  <c r="B16" i="7"/>
  <c r="D22" i="13" s="1"/>
  <c r="E22" i="13" s="1"/>
  <c r="G22" i="13" s="1"/>
  <c r="B15" i="7"/>
  <c r="D21" i="13" s="1"/>
  <c r="E21" i="13" s="1"/>
  <c r="G21" i="13" s="1"/>
  <c r="K366" i="6"/>
  <c r="I366" i="6"/>
  <c r="G366" i="6"/>
  <c r="F366" i="6"/>
  <c r="H366" i="6" s="1"/>
  <c r="E366" i="6"/>
  <c r="D366" i="6"/>
  <c r="C366" i="6"/>
  <c r="B366" i="6"/>
  <c r="A366" i="6"/>
  <c r="I365" i="6"/>
  <c r="G365" i="6"/>
  <c r="F365" i="6"/>
  <c r="H365" i="6" s="1"/>
  <c r="E365" i="6"/>
  <c r="D365" i="6"/>
  <c r="C365" i="6"/>
  <c r="B365" i="6"/>
  <c r="A365" i="6"/>
  <c r="N364" i="6"/>
  <c r="G364" i="6"/>
  <c r="H364" i="6" s="1"/>
  <c r="F364" i="6"/>
  <c r="E364" i="6"/>
  <c r="D364" i="6"/>
  <c r="C364" i="6"/>
  <c r="K364" i="6" s="1"/>
  <c r="B364" i="6"/>
  <c r="A364" i="6"/>
  <c r="I364" i="6" s="1"/>
  <c r="G363" i="6"/>
  <c r="H363" i="6" s="1"/>
  <c r="F363" i="6"/>
  <c r="E363" i="6"/>
  <c r="D363" i="6"/>
  <c r="C363" i="6"/>
  <c r="B363" i="6"/>
  <c r="A363" i="6"/>
  <c r="I363" i="6" s="1"/>
  <c r="K362" i="6"/>
  <c r="J362" i="6"/>
  <c r="G362" i="6"/>
  <c r="F362" i="6"/>
  <c r="H362" i="6" s="1"/>
  <c r="E362" i="6"/>
  <c r="D362" i="6"/>
  <c r="C362" i="6"/>
  <c r="B362" i="6"/>
  <c r="A362" i="6"/>
  <c r="I362" i="6" s="1"/>
  <c r="G361" i="6"/>
  <c r="F361" i="6"/>
  <c r="H361" i="6" s="1"/>
  <c r="E361" i="6"/>
  <c r="D361" i="6"/>
  <c r="C361" i="6"/>
  <c r="B361" i="6"/>
  <c r="A361" i="6"/>
  <c r="I361" i="6" s="1"/>
  <c r="J360" i="6"/>
  <c r="G360" i="6"/>
  <c r="H360" i="6" s="1"/>
  <c r="F360" i="6"/>
  <c r="E360" i="6"/>
  <c r="D360" i="6"/>
  <c r="C360" i="6"/>
  <c r="B360" i="6"/>
  <c r="A360" i="6"/>
  <c r="I360" i="6" s="1"/>
  <c r="K359" i="6"/>
  <c r="J359" i="6"/>
  <c r="H359" i="6"/>
  <c r="G359" i="6"/>
  <c r="F359" i="6"/>
  <c r="E359" i="6"/>
  <c r="D359" i="6"/>
  <c r="C359" i="6"/>
  <c r="B359" i="6"/>
  <c r="A359" i="6"/>
  <c r="I359" i="6" s="1"/>
  <c r="J358" i="6"/>
  <c r="G358" i="6"/>
  <c r="F358" i="6"/>
  <c r="H358" i="6" s="1"/>
  <c r="K358" i="6" s="1"/>
  <c r="E358" i="6"/>
  <c r="D358" i="6"/>
  <c r="C358" i="6"/>
  <c r="B358" i="6"/>
  <c r="A358" i="6"/>
  <c r="I358" i="6" s="1"/>
  <c r="K357" i="6"/>
  <c r="H357" i="6"/>
  <c r="G357" i="6"/>
  <c r="F357" i="6"/>
  <c r="E357" i="6"/>
  <c r="D357" i="6"/>
  <c r="C357" i="6"/>
  <c r="B357" i="6"/>
  <c r="A357" i="6"/>
  <c r="I357" i="6" s="1"/>
  <c r="J356" i="6"/>
  <c r="H356" i="6"/>
  <c r="G356" i="6"/>
  <c r="F356" i="6"/>
  <c r="E356" i="6"/>
  <c r="D356" i="6"/>
  <c r="C356" i="6"/>
  <c r="B356" i="6"/>
  <c r="A356" i="6"/>
  <c r="I356" i="6" s="1"/>
  <c r="K355" i="6"/>
  <c r="J355" i="6"/>
  <c r="G355" i="6"/>
  <c r="F355" i="6"/>
  <c r="H355" i="6" s="1"/>
  <c r="E355" i="6"/>
  <c r="D355" i="6"/>
  <c r="C355" i="6"/>
  <c r="B355" i="6"/>
  <c r="A355" i="6"/>
  <c r="I355" i="6" s="1"/>
  <c r="H354" i="6"/>
  <c r="G354" i="6"/>
  <c r="F354" i="6"/>
  <c r="E354" i="6"/>
  <c r="D354" i="6"/>
  <c r="C354" i="6"/>
  <c r="B354" i="6"/>
  <c r="A354" i="6"/>
  <c r="I354" i="6" s="1"/>
  <c r="J353" i="6"/>
  <c r="H353" i="6"/>
  <c r="G353" i="6"/>
  <c r="F353" i="6"/>
  <c r="E353" i="6"/>
  <c r="D353" i="6"/>
  <c r="C353" i="6"/>
  <c r="B353" i="6"/>
  <c r="A353" i="6"/>
  <c r="I353" i="6" s="1"/>
  <c r="J352" i="6"/>
  <c r="I352" i="6"/>
  <c r="G352" i="6"/>
  <c r="F352" i="6"/>
  <c r="E352" i="6"/>
  <c r="D352" i="6"/>
  <c r="C352" i="6"/>
  <c r="B352" i="6"/>
  <c r="A352" i="6"/>
  <c r="G351" i="6"/>
  <c r="F351" i="6"/>
  <c r="H351" i="6" s="1"/>
  <c r="E351" i="6"/>
  <c r="D351" i="6"/>
  <c r="C351" i="6"/>
  <c r="B351" i="6"/>
  <c r="A351" i="6"/>
  <c r="I351" i="6" s="1"/>
  <c r="N350" i="6"/>
  <c r="H350" i="6"/>
  <c r="G350" i="6"/>
  <c r="F350" i="6"/>
  <c r="E350" i="6"/>
  <c r="D350" i="6"/>
  <c r="C350" i="6"/>
  <c r="K350" i="6" s="1"/>
  <c r="B350" i="6"/>
  <c r="A350" i="6"/>
  <c r="I350" i="6" s="1"/>
  <c r="J349" i="6"/>
  <c r="I349" i="6"/>
  <c r="G349" i="6"/>
  <c r="F349" i="6"/>
  <c r="E349" i="6"/>
  <c r="D349" i="6"/>
  <c r="C349" i="6"/>
  <c r="B349" i="6"/>
  <c r="A349" i="6"/>
  <c r="J348" i="6"/>
  <c r="G348" i="6"/>
  <c r="F348" i="6"/>
  <c r="H348" i="6" s="1"/>
  <c r="E348" i="6"/>
  <c r="D348" i="6"/>
  <c r="C348" i="6"/>
  <c r="K348" i="6" s="1"/>
  <c r="B348" i="6"/>
  <c r="A348" i="6"/>
  <c r="I348" i="6" s="1"/>
  <c r="J347" i="6"/>
  <c r="G347" i="6"/>
  <c r="H347" i="6" s="1"/>
  <c r="F347" i="6"/>
  <c r="E347" i="6"/>
  <c r="D347" i="6"/>
  <c r="C347" i="6"/>
  <c r="B347" i="6"/>
  <c r="A347" i="6"/>
  <c r="I347" i="6" s="1"/>
  <c r="J346" i="6"/>
  <c r="I346" i="6"/>
  <c r="G346" i="6"/>
  <c r="F346" i="6"/>
  <c r="H346" i="6" s="1"/>
  <c r="E346" i="6"/>
  <c r="D346" i="6"/>
  <c r="C346" i="6"/>
  <c r="B346" i="6"/>
  <c r="A346" i="6"/>
  <c r="G345" i="6"/>
  <c r="F345" i="6"/>
  <c r="H345" i="6" s="1"/>
  <c r="E345" i="6"/>
  <c r="D345" i="6"/>
  <c r="C345" i="6"/>
  <c r="B345" i="6"/>
  <c r="A345" i="6"/>
  <c r="I345" i="6" s="1"/>
  <c r="J344" i="6"/>
  <c r="G344" i="6"/>
  <c r="H344" i="6" s="1"/>
  <c r="F344" i="6"/>
  <c r="E344" i="6"/>
  <c r="D344" i="6"/>
  <c r="C344" i="6"/>
  <c r="B344" i="6"/>
  <c r="A344" i="6"/>
  <c r="I344" i="6" s="1"/>
  <c r="N343" i="6"/>
  <c r="K343" i="6"/>
  <c r="G343" i="6"/>
  <c r="F343" i="6"/>
  <c r="H343" i="6" s="1"/>
  <c r="J343" i="6" s="1"/>
  <c r="E343" i="6"/>
  <c r="D343" i="6"/>
  <c r="C343" i="6"/>
  <c r="B343" i="6"/>
  <c r="A343" i="6"/>
  <c r="I343" i="6" s="1"/>
  <c r="J342" i="6"/>
  <c r="G342" i="6"/>
  <c r="F342" i="6"/>
  <c r="H342" i="6" s="1"/>
  <c r="E342" i="6"/>
  <c r="D342" i="6"/>
  <c r="C342" i="6"/>
  <c r="B342" i="6"/>
  <c r="A342" i="6"/>
  <c r="I342" i="6" s="1"/>
  <c r="H341" i="6"/>
  <c r="G341" i="6"/>
  <c r="F341" i="6"/>
  <c r="E341" i="6"/>
  <c r="D341" i="6"/>
  <c r="C341" i="6"/>
  <c r="B341" i="6"/>
  <c r="A341" i="6"/>
  <c r="I341" i="6" s="1"/>
  <c r="J340" i="6"/>
  <c r="G340" i="6"/>
  <c r="F340" i="6"/>
  <c r="H340" i="6" s="1"/>
  <c r="E340" i="6"/>
  <c r="D340" i="6"/>
  <c r="C340" i="6"/>
  <c r="B340" i="6"/>
  <c r="A340" i="6"/>
  <c r="I340" i="6" s="1"/>
  <c r="J339" i="6"/>
  <c r="G339" i="6"/>
  <c r="F339" i="6"/>
  <c r="H339" i="6" s="1"/>
  <c r="E339" i="6"/>
  <c r="D339" i="6"/>
  <c r="C339" i="6"/>
  <c r="B339" i="6"/>
  <c r="A339" i="6"/>
  <c r="I339" i="6" s="1"/>
  <c r="K338" i="6"/>
  <c r="H338" i="6"/>
  <c r="G338" i="6"/>
  <c r="F338" i="6"/>
  <c r="E338" i="6"/>
  <c r="D338" i="6"/>
  <c r="C338" i="6"/>
  <c r="B338" i="6"/>
  <c r="A338" i="6"/>
  <c r="I338" i="6" s="1"/>
  <c r="J337" i="6"/>
  <c r="H337" i="6"/>
  <c r="G337" i="6"/>
  <c r="F337" i="6"/>
  <c r="E337" i="6"/>
  <c r="D337" i="6"/>
  <c r="C337" i="6"/>
  <c r="B337" i="6"/>
  <c r="A337" i="6"/>
  <c r="I337" i="6" s="1"/>
  <c r="N336" i="6"/>
  <c r="J336" i="6"/>
  <c r="I336" i="6"/>
  <c r="G336" i="6"/>
  <c r="F336" i="6"/>
  <c r="H336" i="6" s="1"/>
  <c r="E336" i="6"/>
  <c r="D336" i="6"/>
  <c r="C336" i="6"/>
  <c r="K336" i="6" s="1"/>
  <c r="B336" i="6"/>
  <c r="A336" i="6"/>
  <c r="G335" i="6"/>
  <c r="F335" i="6"/>
  <c r="H335" i="6" s="1"/>
  <c r="E335" i="6"/>
  <c r="D335" i="6"/>
  <c r="C335" i="6"/>
  <c r="B335" i="6"/>
  <c r="A335" i="6"/>
  <c r="I335" i="6" s="1"/>
  <c r="J334" i="6"/>
  <c r="H334" i="6"/>
  <c r="G334" i="6"/>
  <c r="F334" i="6"/>
  <c r="E334" i="6"/>
  <c r="D334" i="6"/>
  <c r="C334" i="6"/>
  <c r="B334" i="6"/>
  <c r="A334" i="6"/>
  <c r="I334" i="6" s="1"/>
  <c r="K333" i="6"/>
  <c r="I333" i="6"/>
  <c r="G333" i="6"/>
  <c r="F333" i="6"/>
  <c r="H333" i="6" s="1"/>
  <c r="E333" i="6"/>
  <c r="D333" i="6"/>
  <c r="C333" i="6"/>
  <c r="B333" i="6"/>
  <c r="A333" i="6"/>
  <c r="G332" i="6"/>
  <c r="H332" i="6" s="1"/>
  <c r="K332" i="6" s="1"/>
  <c r="F332" i="6"/>
  <c r="E332" i="6"/>
  <c r="D332" i="6"/>
  <c r="C332" i="6"/>
  <c r="B332" i="6"/>
  <c r="A332" i="6"/>
  <c r="I332" i="6" s="1"/>
  <c r="J331" i="6"/>
  <c r="I331" i="6"/>
  <c r="G331" i="6"/>
  <c r="F331" i="6"/>
  <c r="H331" i="6" s="1"/>
  <c r="E331" i="6"/>
  <c r="D331" i="6"/>
  <c r="C331" i="6"/>
  <c r="B331" i="6"/>
  <c r="A331" i="6"/>
  <c r="G330" i="6"/>
  <c r="H330" i="6" s="1"/>
  <c r="F330" i="6"/>
  <c r="E330" i="6"/>
  <c r="D330" i="6"/>
  <c r="C330" i="6"/>
  <c r="B330" i="6"/>
  <c r="A330" i="6"/>
  <c r="I330" i="6" s="1"/>
  <c r="J329" i="6"/>
  <c r="G329" i="6"/>
  <c r="F329" i="6"/>
  <c r="H329" i="6" s="1"/>
  <c r="E329" i="6"/>
  <c r="D329" i="6"/>
  <c r="C329" i="6"/>
  <c r="K329" i="6" s="1"/>
  <c r="B329" i="6"/>
  <c r="A329" i="6"/>
  <c r="I329" i="6" s="1"/>
  <c r="K328" i="6"/>
  <c r="G328" i="6"/>
  <c r="H328" i="6" s="1"/>
  <c r="F328" i="6"/>
  <c r="E328" i="6"/>
  <c r="D328" i="6"/>
  <c r="C328" i="6"/>
  <c r="B328" i="6"/>
  <c r="A328" i="6"/>
  <c r="I328" i="6" s="1"/>
  <c r="J327" i="6"/>
  <c r="I327" i="6"/>
  <c r="G327" i="6"/>
  <c r="F327" i="6"/>
  <c r="H327" i="6" s="1"/>
  <c r="E327" i="6"/>
  <c r="D327" i="6"/>
  <c r="C327" i="6"/>
  <c r="B327" i="6"/>
  <c r="A327" i="6"/>
  <c r="K326" i="6"/>
  <c r="H326" i="6"/>
  <c r="G326" i="6"/>
  <c r="F326" i="6"/>
  <c r="E326" i="6"/>
  <c r="D326" i="6"/>
  <c r="C326" i="6"/>
  <c r="B326" i="6"/>
  <c r="A326" i="6"/>
  <c r="I326" i="6" s="1"/>
  <c r="J325" i="6"/>
  <c r="I325" i="6"/>
  <c r="G325" i="6"/>
  <c r="F325" i="6"/>
  <c r="H325" i="6" s="1"/>
  <c r="K325" i="6" s="1"/>
  <c r="E325" i="6"/>
  <c r="D325" i="6"/>
  <c r="C325" i="6"/>
  <c r="B325" i="6"/>
  <c r="A325" i="6"/>
  <c r="K324" i="6"/>
  <c r="G324" i="6"/>
  <c r="H324" i="6" s="1"/>
  <c r="F324" i="6"/>
  <c r="E324" i="6"/>
  <c r="D324" i="6"/>
  <c r="C324" i="6"/>
  <c r="B324" i="6"/>
  <c r="A324" i="6"/>
  <c r="I324" i="6" s="1"/>
  <c r="J323" i="6"/>
  <c r="I323" i="6"/>
  <c r="G323" i="6"/>
  <c r="F323" i="6"/>
  <c r="H323" i="6" s="1"/>
  <c r="E323" i="6"/>
  <c r="D323" i="6"/>
  <c r="C323" i="6"/>
  <c r="B323" i="6"/>
  <c r="A323" i="6"/>
  <c r="K322" i="6"/>
  <c r="G322" i="6"/>
  <c r="H322" i="6" s="1"/>
  <c r="F322" i="6"/>
  <c r="E322" i="6"/>
  <c r="D322" i="6"/>
  <c r="C322" i="6"/>
  <c r="B322" i="6"/>
  <c r="A322" i="6"/>
  <c r="I322" i="6" s="1"/>
  <c r="G321" i="6"/>
  <c r="F321" i="6"/>
  <c r="H321" i="6" s="1"/>
  <c r="E321" i="6"/>
  <c r="D321" i="6"/>
  <c r="C321" i="6"/>
  <c r="B321" i="6"/>
  <c r="A321" i="6"/>
  <c r="I321" i="6" s="1"/>
  <c r="G320" i="6"/>
  <c r="H320" i="6" s="1"/>
  <c r="K320" i="6" s="1"/>
  <c r="F320" i="6"/>
  <c r="E320" i="6"/>
  <c r="D320" i="6"/>
  <c r="C320" i="6"/>
  <c r="B320" i="6"/>
  <c r="A320" i="6"/>
  <c r="I320" i="6" s="1"/>
  <c r="J319" i="6"/>
  <c r="I319" i="6"/>
  <c r="G319" i="6"/>
  <c r="F319" i="6"/>
  <c r="E319" i="6"/>
  <c r="D319" i="6"/>
  <c r="C319" i="6"/>
  <c r="B319" i="6"/>
  <c r="A319" i="6"/>
  <c r="G318" i="6"/>
  <c r="H318" i="6" s="1"/>
  <c r="F318" i="6"/>
  <c r="E318" i="6"/>
  <c r="D318" i="6"/>
  <c r="C318" i="6"/>
  <c r="B318" i="6"/>
  <c r="A318" i="6"/>
  <c r="I318" i="6" s="1"/>
  <c r="I317" i="6"/>
  <c r="G317" i="6"/>
  <c r="F317" i="6"/>
  <c r="H317" i="6" s="1"/>
  <c r="E317" i="6"/>
  <c r="D317" i="6"/>
  <c r="C317" i="6"/>
  <c r="K317" i="6" s="1"/>
  <c r="B317" i="6"/>
  <c r="A317" i="6"/>
  <c r="K316" i="6"/>
  <c r="I316" i="6"/>
  <c r="G316" i="6"/>
  <c r="H316" i="6" s="1"/>
  <c r="F316" i="6"/>
  <c r="E316" i="6"/>
  <c r="D316" i="6"/>
  <c r="C316" i="6"/>
  <c r="B316" i="6"/>
  <c r="A316" i="6"/>
  <c r="N315" i="6"/>
  <c r="I315" i="6"/>
  <c r="G315" i="6"/>
  <c r="F315" i="6"/>
  <c r="E315" i="6"/>
  <c r="D315" i="6"/>
  <c r="C315" i="6"/>
  <c r="B315" i="6"/>
  <c r="A315" i="6"/>
  <c r="G314" i="6"/>
  <c r="H314" i="6" s="1"/>
  <c r="F314" i="6"/>
  <c r="E314" i="6"/>
  <c r="D314" i="6"/>
  <c r="C314" i="6"/>
  <c r="B314" i="6"/>
  <c r="A314" i="6"/>
  <c r="I314" i="6" s="1"/>
  <c r="J313" i="6"/>
  <c r="G313" i="6"/>
  <c r="F313" i="6"/>
  <c r="H313" i="6" s="1"/>
  <c r="E313" i="6"/>
  <c r="D313" i="6"/>
  <c r="C313" i="6"/>
  <c r="B313" i="6"/>
  <c r="A313" i="6"/>
  <c r="I313" i="6" s="1"/>
  <c r="G312" i="6"/>
  <c r="H312" i="6" s="1"/>
  <c r="F312" i="6"/>
  <c r="E312" i="6"/>
  <c r="D312" i="6"/>
  <c r="C312" i="6"/>
  <c r="B312" i="6"/>
  <c r="A312" i="6"/>
  <c r="I312" i="6" s="1"/>
  <c r="J311" i="6"/>
  <c r="I311" i="6"/>
  <c r="G311" i="6"/>
  <c r="F311" i="6"/>
  <c r="E311" i="6"/>
  <c r="D311" i="6"/>
  <c r="C311" i="6"/>
  <c r="B311" i="6"/>
  <c r="A311" i="6"/>
  <c r="K310" i="6"/>
  <c r="I310" i="6"/>
  <c r="G310" i="6"/>
  <c r="H310" i="6" s="1"/>
  <c r="F310" i="6"/>
  <c r="E310" i="6"/>
  <c r="D310" i="6"/>
  <c r="C310" i="6"/>
  <c r="B310" i="6"/>
  <c r="A310" i="6"/>
  <c r="K309" i="6"/>
  <c r="J309" i="6"/>
  <c r="G309" i="6"/>
  <c r="F309" i="6"/>
  <c r="H309" i="6" s="1"/>
  <c r="E309" i="6"/>
  <c r="D309" i="6"/>
  <c r="C309" i="6"/>
  <c r="B309" i="6"/>
  <c r="A309" i="6"/>
  <c r="I309" i="6" s="1"/>
  <c r="K308" i="6"/>
  <c r="G308" i="6"/>
  <c r="H308" i="6" s="1"/>
  <c r="F308" i="6"/>
  <c r="E308" i="6"/>
  <c r="D308" i="6"/>
  <c r="C308" i="6"/>
  <c r="B308" i="6"/>
  <c r="A308" i="6"/>
  <c r="I308" i="6" s="1"/>
  <c r="J307" i="6"/>
  <c r="I307" i="6"/>
  <c r="G307" i="6"/>
  <c r="F307" i="6"/>
  <c r="H307" i="6" s="1"/>
  <c r="E307" i="6"/>
  <c r="D307" i="6"/>
  <c r="C307" i="6"/>
  <c r="B307" i="6"/>
  <c r="A307" i="6"/>
  <c r="H306" i="6"/>
  <c r="K306" i="6" s="1"/>
  <c r="G306" i="6"/>
  <c r="F306" i="6"/>
  <c r="E306" i="6"/>
  <c r="D306" i="6"/>
  <c r="C306" i="6"/>
  <c r="B306" i="6"/>
  <c r="A306" i="6"/>
  <c r="I306" i="6" s="1"/>
  <c r="I305" i="6"/>
  <c r="G305" i="6"/>
  <c r="F305" i="6"/>
  <c r="H305" i="6" s="1"/>
  <c r="E305" i="6"/>
  <c r="D305" i="6"/>
  <c r="C305" i="6"/>
  <c r="B305" i="6"/>
  <c r="A305" i="6"/>
  <c r="G304" i="6"/>
  <c r="H304" i="6" s="1"/>
  <c r="F304" i="6"/>
  <c r="E304" i="6"/>
  <c r="D304" i="6"/>
  <c r="C304" i="6"/>
  <c r="B304" i="6"/>
  <c r="A304" i="6"/>
  <c r="I304" i="6" s="1"/>
  <c r="J303" i="6"/>
  <c r="G303" i="6"/>
  <c r="F303" i="6"/>
  <c r="H303" i="6" s="1"/>
  <c r="E303" i="6"/>
  <c r="D303" i="6"/>
  <c r="C303" i="6"/>
  <c r="B303" i="6"/>
  <c r="A303" i="6"/>
  <c r="I303" i="6" s="1"/>
  <c r="H302" i="6"/>
  <c r="G302" i="6"/>
  <c r="F302" i="6"/>
  <c r="E302" i="6"/>
  <c r="D302" i="6"/>
  <c r="C302" i="6"/>
  <c r="B302" i="6"/>
  <c r="A302" i="6"/>
  <c r="I302" i="6" s="1"/>
  <c r="N301" i="6"/>
  <c r="K301" i="6"/>
  <c r="I301" i="6"/>
  <c r="G301" i="6"/>
  <c r="F301" i="6"/>
  <c r="E301" i="6"/>
  <c r="D301" i="6"/>
  <c r="C301" i="6"/>
  <c r="B301" i="6"/>
  <c r="A301" i="6"/>
  <c r="K300" i="6"/>
  <c r="G300" i="6"/>
  <c r="H300" i="6" s="1"/>
  <c r="F300" i="6"/>
  <c r="E300" i="6"/>
  <c r="D300" i="6"/>
  <c r="C300" i="6"/>
  <c r="B300" i="6"/>
  <c r="A300" i="6"/>
  <c r="I300" i="6" s="1"/>
  <c r="J299" i="6"/>
  <c r="I299" i="6"/>
  <c r="G299" i="6"/>
  <c r="F299" i="6"/>
  <c r="E299" i="6"/>
  <c r="D299" i="6"/>
  <c r="C299" i="6"/>
  <c r="B299" i="6"/>
  <c r="A299" i="6"/>
  <c r="G298" i="6"/>
  <c r="H298" i="6" s="1"/>
  <c r="K298" i="6" s="1"/>
  <c r="F298" i="6"/>
  <c r="E298" i="6"/>
  <c r="D298" i="6"/>
  <c r="C298" i="6"/>
  <c r="B298" i="6"/>
  <c r="A298" i="6"/>
  <c r="I298" i="6" s="1"/>
  <c r="I297" i="6"/>
  <c r="G297" i="6"/>
  <c r="F297" i="6"/>
  <c r="H297" i="6" s="1"/>
  <c r="E297" i="6"/>
  <c r="D297" i="6"/>
  <c r="C297" i="6"/>
  <c r="B297" i="6"/>
  <c r="A297" i="6"/>
  <c r="G296" i="6"/>
  <c r="H296" i="6" s="1"/>
  <c r="K296" i="6" s="1"/>
  <c r="F296" i="6"/>
  <c r="E296" i="6"/>
  <c r="D296" i="6"/>
  <c r="C296" i="6"/>
  <c r="B296" i="6"/>
  <c r="A296" i="6"/>
  <c r="I296" i="6" s="1"/>
  <c r="G295" i="6"/>
  <c r="F295" i="6"/>
  <c r="H295" i="6" s="1"/>
  <c r="E295" i="6"/>
  <c r="D295" i="6"/>
  <c r="C295" i="6"/>
  <c r="B295" i="6"/>
  <c r="A295" i="6"/>
  <c r="I295" i="6" s="1"/>
  <c r="H294" i="6"/>
  <c r="G294" i="6"/>
  <c r="F294" i="6"/>
  <c r="E294" i="6"/>
  <c r="D294" i="6"/>
  <c r="C294" i="6"/>
  <c r="B294" i="6"/>
  <c r="A294" i="6"/>
  <c r="I294" i="6" s="1"/>
  <c r="J293" i="6"/>
  <c r="I293" i="6"/>
  <c r="G293" i="6"/>
  <c r="F293" i="6"/>
  <c r="E293" i="6"/>
  <c r="D293" i="6"/>
  <c r="C293" i="6"/>
  <c r="B293" i="6"/>
  <c r="A293" i="6"/>
  <c r="G292" i="6"/>
  <c r="H292" i="6" s="1"/>
  <c r="K292" i="6" s="1"/>
  <c r="F292" i="6"/>
  <c r="E292" i="6"/>
  <c r="D292" i="6"/>
  <c r="C292" i="6"/>
  <c r="B292" i="6"/>
  <c r="A292" i="6"/>
  <c r="I292" i="6" s="1"/>
  <c r="I291" i="6"/>
  <c r="G291" i="6"/>
  <c r="F291" i="6"/>
  <c r="E291" i="6"/>
  <c r="D291" i="6"/>
  <c r="C291" i="6"/>
  <c r="B291" i="6"/>
  <c r="A291" i="6"/>
  <c r="G290" i="6"/>
  <c r="H290" i="6" s="1"/>
  <c r="F290" i="6"/>
  <c r="E290" i="6"/>
  <c r="D290" i="6"/>
  <c r="C290" i="6"/>
  <c r="B290" i="6"/>
  <c r="A290" i="6"/>
  <c r="I290" i="6" s="1"/>
  <c r="J289" i="6"/>
  <c r="H289" i="6"/>
  <c r="G289" i="6"/>
  <c r="F289" i="6"/>
  <c r="E289" i="6"/>
  <c r="D289" i="6"/>
  <c r="C289" i="6"/>
  <c r="B289" i="6"/>
  <c r="A289" i="6"/>
  <c r="I289" i="6" s="1"/>
  <c r="J288" i="6"/>
  <c r="I288" i="6"/>
  <c r="G288" i="6"/>
  <c r="H288" i="6" s="1"/>
  <c r="F288" i="6"/>
  <c r="E288" i="6"/>
  <c r="D288" i="6"/>
  <c r="C288" i="6"/>
  <c r="B288" i="6"/>
  <c r="A288" i="6"/>
  <c r="N287" i="6"/>
  <c r="K287" i="6"/>
  <c r="J287" i="6"/>
  <c r="G287" i="6"/>
  <c r="F287" i="6"/>
  <c r="H287" i="6" s="1"/>
  <c r="E287" i="6"/>
  <c r="D287" i="6"/>
  <c r="C287" i="6"/>
  <c r="B287" i="6"/>
  <c r="A287" i="6"/>
  <c r="I287" i="6" s="1"/>
  <c r="I286" i="6"/>
  <c r="G286" i="6"/>
  <c r="F286" i="6"/>
  <c r="E286" i="6"/>
  <c r="D286" i="6"/>
  <c r="C286" i="6"/>
  <c r="J286" i="6" s="1"/>
  <c r="B286" i="6"/>
  <c r="A286" i="6"/>
  <c r="J285" i="6"/>
  <c r="G285" i="6"/>
  <c r="H285" i="6" s="1"/>
  <c r="F285" i="6"/>
  <c r="E285" i="6"/>
  <c r="D285" i="6"/>
  <c r="C285" i="6"/>
  <c r="B285" i="6"/>
  <c r="A285" i="6"/>
  <c r="I285" i="6" s="1"/>
  <c r="H284" i="6"/>
  <c r="K284" i="6" s="1"/>
  <c r="G284" i="6"/>
  <c r="F284" i="6"/>
  <c r="E284" i="6"/>
  <c r="D284" i="6"/>
  <c r="C284" i="6"/>
  <c r="B284" i="6"/>
  <c r="A284" i="6"/>
  <c r="I284" i="6" s="1"/>
  <c r="J283" i="6"/>
  <c r="I283" i="6"/>
  <c r="G283" i="6"/>
  <c r="F283" i="6"/>
  <c r="E283" i="6"/>
  <c r="D283" i="6"/>
  <c r="C283" i="6"/>
  <c r="B283" i="6"/>
  <c r="A283" i="6"/>
  <c r="H282" i="6"/>
  <c r="G282" i="6"/>
  <c r="F282" i="6"/>
  <c r="E282" i="6"/>
  <c r="D282" i="6"/>
  <c r="C282" i="6"/>
  <c r="B282" i="6"/>
  <c r="A282" i="6"/>
  <c r="I282" i="6" s="1"/>
  <c r="J281" i="6"/>
  <c r="H281" i="6"/>
  <c r="G281" i="6"/>
  <c r="F281" i="6"/>
  <c r="E281" i="6"/>
  <c r="D281" i="6"/>
  <c r="C281" i="6"/>
  <c r="B281" i="6"/>
  <c r="A281" i="6"/>
  <c r="I281" i="6" s="1"/>
  <c r="K280" i="6"/>
  <c r="G280" i="6"/>
  <c r="H280" i="6" s="1"/>
  <c r="J280" i="6" s="1"/>
  <c r="F280" i="6"/>
  <c r="E280" i="6"/>
  <c r="D280" i="6"/>
  <c r="C280" i="6"/>
  <c r="B280" i="6"/>
  <c r="A280" i="6"/>
  <c r="I280" i="6" s="1"/>
  <c r="K279" i="6"/>
  <c r="J279" i="6"/>
  <c r="G279" i="6"/>
  <c r="F279" i="6"/>
  <c r="H279" i="6" s="1"/>
  <c r="E279" i="6"/>
  <c r="D279" i="6"/>
  <c r="C279" i="6"/>
  <c r="B279" i="6"/>
  <c r="A279" i="6"/>
  <c r="I279" i="6" s="1"/>
  <c r="I278" i="6"/>
  <c r="G278" i="6"/>
  <c r="F278" i="6"/>
  <c r="H278" i="6" s="1"/>
  <c r="E278" i="6"/>
  <c r="D278" i="6"/>
  <c r="C278" i="6"/>
  <c r="B278" i="6"/>
  <c r="A278" i="6"/>
  <c r="J277" i="6"/>
  <c r="G277" i="6"/>
  <c r="F277" i="6"/>
  <c r="H277" i="6" s="1"/>
  <c r="E277" i="6"/>
  <c r="D277" i="6"/>
  <c r="C277" i="6"/>
  <c r="B277" i="6"/>
  <c r="A277" i="6"/>
  <c r="I277" i="6" s="1"/>
  <c r="G276" i="6"/>
  <c r="H276" i="6" s="1"/>
  <c r="F276" i="6"/>
  <c r="E276" i="6"/>
  <c r="D276" i="6"/>
  <c r="C276" i="6"/>
  <c r="B276" i="6"/>
  <c r="A276" i="6"/>
  <c r="I276" i="6" s="1"/>
  <c r="I275" i="6"/>
  <c r="G275" i="6"/>
  <c r="F275" i="6"/>
  <c r="E275" i="6"/>
  <c r="D275" i="6"/>
  <c r="C275" i="6"/>
  <c r="B275" i="6"/>
  <c r="A275" i="6"/>
  <c r="G274" i="6"/>
  <c r="H274" i="6" s="1"/>
  <c r="F274" i="6"/>
  <c r="E274" i="6"/>
  <c r="D274" i="6"/>
  <c r="C274" i="6"/>
  <c r="B274" i="6"/>
  <c r="A274" i="6"/>
  <c r="I274" i="6" s="1"/>
  <c r="N273" i="6"/>
  <c r="G273" i="6"/>
  <c r="F273" i="6"/>
  <c r="H273" i="6" s="1"/>
  <c r="J273" i="6" s="1"/>
  <c r="E273" i="6"/>
  <c r="D273" i="6"/>
  <c r="C273" i="6"/>
  <c r="B273" i="6"/>
  <c r="A273" i="6"/>
  <c r="I273" i="6" s="1"/>
  <c r="J272" i="6"/>
  <c r="H272" i="6"/>
  <c r="G272" i="6"/>
  <c r="F272" i="6"/>
  <c r="E272" i="6"/>
  <c r="D272" i="6"/>
  <c r="C272" i="6"/>
  <c r="B272" i="6"/>
  <c r="A272" i="6"/>
  <c r="I272" i="6" s="1"/>
  <c r="J271" i="6"/>
  <c r="G271" i="6"/>
  <c r="F271" i="6"/>
  <c r="H271" i="6" s="1"/>
  <c r="K271" i="6" s="1"/>
  <c r="E271" i="6"/>
  <c r="D271" i="6"/>
  <c r="C271" i="6"/>
  <c r="B271" i="6"/>
  <c r="A271" i="6"/>
  <c r="I271" i="6" s="1"/>
  <c r="J270" i="6"/>
  <c r="H270" i="6"/>
  <c r="G270" i="6"/>
  <c r="F270" i="6"/>
  <c r="E270" i="6"/>
  <c r="D270" i="6"/>
  <c r="C270" i="6"/>
  <c r="B270" i="6"/>
  <c r="A270" i="6"/>
  <c r="I270" i="6" s="1"/>
  <c r="J269" i="6"/>
  <c r="H269" i="6"/>
  <c r="K269" i="6" s="1"/>
  <c r="G269" i="6"/>
  <c r="F269" i="6"/>
  <c r="E269" i="6"/>
  <c r="D269" i="6"/>
  <c r="C269" i="6"/>
  <c r="B269" i="6"/>
  <c r="A269" i="6"/>
  <c r="I269" i="6" s="1"/>
  <c r="G268" i="6"/>
  <c r="F268" i="6"/>
  <c r="H268" i="6" s="1"/>
  <c r="E268" i="6"/>
  <c r="D268" i="6"/>
  <c r="C268" i="6"/>
  <c r="B268" i="6"/>
  <c r="A268" i="6"/>
  <c r="I268" i="6" s="1"/>
  <c r="J267" i="6"/>
  <c r="G267" i="6"/>
  <c r="F267" i="6"/>
  <c r="H267" i="6" s="1"/>
  <c r="E267" i="6"/>
  <c r="D267" i="6"/>
  <c r="C267" i="6"/>
  <c r="K267" i="6" s="1"/>
  <c r="B267" i="6"/>
  <c r="A267" i="6"/>
  <c r="I267" i="6" s="1"/>
  <c r="N266" i="6"/>
  <c r="H266" i="6"/>
  <c r="J266" i="6" s="1"/>
  <c r="G266" i="6"/>
  <c r="F266" i="6"/>
  <c r="E266" i="6"/>
  <c r="D266" i="6"/>
  <c r="C266" i="6"/>
  <c r="B266" i="6"/>
  <c r="A266" i="6"/>
  <c r="I266" i="6" s="1"/>
  <c r="H265" i="6"/>
  <c r="K265" i="6" s="1"/>
  <c r="G265" i="6"/>
  <c r="F265" i="6"/>
  <c r="E265" i="6"/>
  <c r="D265" i="6"/>
  <c r="C265" i="6"/>
  <c r="B265" i="6"/>
  <c r="A265" i="6"/>
  <c r="I265" i="6" s="1"/>
  <c r="J264" i="6"/>
  <c r="G264" i="6"/>
  <c r="F264" i="6"/>
  <c r="H264" i="6" s="1"/>
  <c r="K264" i="6" s="1"/>
  <c r="E264" i="6"/>
  <c r="D264" i="6"/>
  <c r="C264" i="6"/>
  <c r="B264" i="6"/>
  <c r="A264" i="6"/>
  <c r="I264" i="6" s="1"/>
  <c r="J263" i="6"/>
  <c r="G263" i="6"/>
  <c r="F263" i="6"/>
  <c r="E263" i="6"/>
  <c r="D263" i="6"/>
  <c r="C263" i="6"/>
  <c r="B263" i="6"/>
  <c r="A263" i="6"/>
  <c r="I263" i="6" s="1"/>
  <c r="J262" i="6"/>
  <c r="I262" i="6"/>
  <c r="G262" i="6"/>
  <c r="F262" i="6"/>
  <c r="H262" i="6" s="1"/>
  <c r="E262" i="6"/>
  <c r="D262" i="6"/>
  <c r="C262" i="6"/>
  <c r="B262" i="6"/>
  <c r="A262" i="6"/>
  <c r="J261" i="6"/>
  <c r="H261" i="6"/>
  <c r="G261" i="6"/>
  <c r="F261" i="6"/>
  <c r="E261" i="6"/>
  <c r="D261" i="6"/>
  <c r="C261" i="6"/>
  <c r="B261" i="6"/>
  <c r="A261" i="6"/>
  <c r="I261" i="6" s="1"/>
  <c r="J260" i="6"/>
  <c r="G260" i="6"/>
  <c r="F260" i="6"/>
  <c r="H260" i="6" s="1"/>
  <c r="E260" i="6"/>
  <c r="D260" i="6"/>
  <c r="C260" i="6"/>
  <c r="B260" i="6"/>
  <c r="A260" i="6"/>
  <c r="I260" i="6" s="1"/>
  <c r="N259" i="6"/>
  <c r="G259" i="6"/>
  <c r="F259" i="6"/>
  <c r="H259" i="6" s="1"/>
  <c r="E259" i="6"/>
  <c r="D259" i="6"/>
  <c r="C259" i="6"/>
  <c r="K259" i="6" s="1"/>
  <c r="B259" i="6"/>
  <c r="A259" i="6"/>
  <c r="I259" i="6" s="1"/>
  <c r="J258" i="6"/>
  <c r="G258" i="6"/>
  <c r="F258" i="6"/>
  <c r="H258" i="6" s="1"/>
  <c r="E258" i="6"/>
  <c r="D258" i="6"/>
  <c r="C258" i="6"/>
  <c r="B258" i="6"/>
  <c r="A258" i="6"/>
  <c r="I258" i="6" s="1"/>
  <c r="J257" i="6"/>
  <c r="H257" i="6"/>
  <c r="G257" i="6"/>
  <c r="F257" i="6"/>
  <c r="E257" i="6"/>
  <c r="D257" i="6"/>
  <c r="C257" i="6"/>
  <c r="B257" i="6"/>
  <c r="A257" i="6"/>
  <c r="I257" i="6" s="1"/>
  <c r="K256" i="6"/>
  <c r="J256" i="6"/>
  <c r="G256" i="6"/>
  <c r="F256" i="6"/>
  <c r="H256" i="6" s="1"/>
  <c r="E256" i="6"/>
  <c r="D256" i="6"/>
  <c r="C256" i="6"/>
  <c r="B256" i="6"/>
  <c r="A256" i="6"/>
  <c r="I256" i="6" s="1"/>
  <c r="J255" i="6"/>
  <c r="G255" i="6"/>
  <c r="H255" i="6" s="1"/>
  <c r="F255" i="6"/>
  <c r="E255" i="6"/>
  <c r="D255" i="6"/>
  <c r="C255" i="6"/>
  <c r="K255" i="6" s="1"/>
  <c r="B255" i="6"/>
  <c r="A255" i="6"/>
  <c r="I255" i="6" s="1"/>
  <c r="J254" i="6"/>
  <c r="G254" i="6"/>
  <c r="F254" i="6"/>
  <c r="E254" i="6"/>
  <c r="D254" i="6"/>
  <c r="C254" i="6"/>
  <c r="B254" i="6"/>
  <c r="A254" i="6"/>
  <c r="I254" i="6" s="1"/>
  <c r="H253" i="6"/>
  <c r="G253" i="6"/>
  <c r="F253" i="6"/>
  <c r="E253" i="6"/>
  <c r="D253" i="6"/>
  <c r="C253" i="6"/>
  <c r="J253" i="6" s="1"/>
  <c r="B253" i="6"/>
  <c r="A253" i="6"/>
  <c r="I253" i="6" s="1"/>
  <c r="J252" i="6"/>
  <c r="G252" i="6"/>
  <c r="F252" i="6"/>
  <c r="H252" i="6" s="1"/>
  <c r="E252" i="6"/>
  <c r="D252" i="6"/>
  <c r="C252" i="6"/>
  <c r="B252" i="6"/>
  <c r="A252" i="6"/>
  <c r="I252" i="6" s="1"/>
  <c r="J251" i="6"/>
  <c r="G251" i="6"/>
  <c r="F251" i="6"/>
  <c r="H251" i="6" s="1"/>
  <c r="E251" i="6"/>
  <c r="D251" i="6"/>
  <c r="C251" i="6"/>
  <c r="B251" i="6"/>
  <c r="A251" i="6"/>
  <c r="I251" i="6" s="1"/>
  <c r="J250" i="6"/>
  <c r="G250" i="6"/>
  <c r="H250" i="6" s="1"/>
  <c r="F250" i="6"/>
  <c r="E250" i="6"/>
  <c r="D250" i="6"/>
  <c r="C250" i="6"/>
  <c r="B250" i="6"/>
  <c r="A250" i="6"/>
  <c r="I250" i="6" s="1"/>
  <c r="J249" i="6"/>
  <c r="H249" i="6"/>
  <c r="G249" i="6"/>
  <c r="F249" i="6"/>
  <c r="E249" i="6"/>
  <c r="D249" i="6"/>
  <c r="C249" i="6"/>
  <c r="K249" i="6" s="1"/>
  <c r="B249" i="6"/>
  <c r="A249" i="6"/>
  <c r="I249" i="6" s="1"/>
  <c r="G248" i="6"/>
  <c r="F248" i="6"/>
  <c r="H248" i="6" s="1"/>
  <c r="E248" i="6"/>
  <c r="D248" i="6"/>
  <c r="C248" i="6"/>
  <c r="B248" i="6"/>
  <c r="A248" i="6"/>
  <c r="I248" i="6" s="1"/>
  <c r="J247" i="6"/>
  <c r="G247" i="6"/>
  <c r="F247" i="6"/>
  <c r="H247" i="6" s="1"/>
  <c r="E247" i="6"/>
  <c r="D247" i="6"/>
  <c r="C247" i="6"/>
  <c r="K247" i="6" s="1"/>
  <c r="B247" i="6"/>
  <c r="A247" i="6"/>
  <c r="I247" i="6" s="1"/>
  <c r="J246" i="6"/>
  <c r="H246" i="6"/>
  <c r="K246" i="6" s="1"/>
  <c r="G246" i="6"/>
  <c r="F246" i="6"/>
  <c r="E246" i="6"/>
  <c r="D246" i="6"/>
  <c r="C246" i="6"/>
  <c r="B246" i="6"/>
  <c r="A246" i="6"/>
  <c r="I246" i="6" s="1"/>
  <c r="K245" i="6"/>
  <c r="J245" i="6"/>
  <c r="H245" i="6"/>
  <c r="G245" i="6"/>
  <c r="F245" i="6"/>
  <c r="E245" i="6"/>
  <c r="D245" i="6"/>
  <c r="C245" i="6"/>
  <c r="B245" i="6"/>
  <c r="A245" i="6"/>
  <c r="I245" i="6" s="1"/>
  <c r="K244" i="6"/>
  <c r="J244" i="6"/>
  <c r="G244" i="6"/>
  <c r="F244" i="6"/>
  <c r="H244" i="6" s="1"/>
  <c r="E244" i="6"/>
  <c r="D244" i="6"/>
  <c r="C244" i="6"/>
  <c r="B244" i="6"/>
  <c r="A244" i="6"/>
  <c r="I244" i="6" s="1"/>
  <c r="J243" i="6"/>
  <c r="H243" i="6"/>
  <c r="G243" i="6"/>
  <c r="F243" i="6"/>
  <c r="E243" i="6"/>
  <c r="D243" i="6"/>
  <c r="C243" i="6"/>
  <c r="B243" i="6"/>
  <c r="A243" i="6"/>
  <c r="I243" i="6" s="1"/>
  <c r="J242" i="6"/>
  <c r="I242" i="6"/>
  <c r="G242" i="6"/>
  <c r="F242" i="6"/>
  <c r="H242" i="6" s="1"/>
  <c r="E242" i="6"/>
  <c r="D242" i="6"/>
  <c r="C242" i="6"/>
  <c r="B242" i="6"/>
  <c r="A242" i="6"/>
  <c r="G241" i="6"/>
  <c r="F241" i="6"/>
  <c r="H241" i="6" s="1"/>
  <c r="E241" i="6"/>
  <c r="D241" i="6"/>
  <c r="C241" i="6"/>
  <c r="B241" i="6"/>
  <c r="A241" i="6"/>
  <c r="I241" i="6" s="1"/>
  <c r="G240" i="6"/>
  <c r="F240" i="6"/>
  <c r="H240" i="6" s="1"/>
  <c r="E240" i="6"/>
  <c r="D240" i="6"/>
  <c r="C240" i="6"/>
  <c r="B240" i="6"/>
  <c r="A240" i="6"/>
  <c r="I240" i="6" s="1"/>
  <c r="J239" i="6"/>
  <c r="G239" i="6"/>
  <c r="H239" i="6" s="1"/>
  <c r="F239" i="6"/>
  <c r="E239" i="6"/>
  <c r="D239" i="6"/>
  <c r="C239" i="6"/>
  <c r="B239" i="6"/>
  <c r="A239" i="6"/>
  <c r="I239" i="6" s="1"/>
  <c r="N238" i="6"/>
  <c r="H238" i="6"/>
  <c r="J238" i="6" s="1"/>
  <c r="G238" i="6"/>
  <c r="F238" i="6"/>
  <c r="E238" i="6"/>
  <c r="D238" i="6"/>
  <c r="C238" i="6"/>
  <c r="K238" i="6" s="1"/>
  <c r="B238" i="6"/>
  <c r="A238" i="6"/>
  <c r="I238" i="6" s="1"/>
  <c r="K237" i="6"/>
  <c r="J237" i="6"/>
  <c r="G237" i="6"/>
  <c r="F237" i="6"/>
  <c r="H237" i="6" s="1"/>
  <c r="E237" i="6"/>
  <c r="D237" i="6"/>
  <c r="C237" i="6"/>
  <c r="B237" i="6"/>
  <c r="A237" i="6"/>
  <c r="I237" i="6" s="1"/>
  <c r="J236" i="6"/>
  <c r="G236" i="6"/>
  <c r="F236" i="6"/>
  <c r="H236" i="6" s="1"/>
  <c r="K236" i="6" s="1"/>
  <c r="E236" i="6"/>
  <c r="D236" i="6"/>
  <c r="C236" i="6"/>
  <c r="B236" i="6"/>
  <c r="A236" i="6"/>
  <c r="I236" i="6" s="1"/>
  <c r="J235" i="6"/>
  <c r="G235" i="6"/>
  <c r="F235" i="6"/>
  <c r="E235" i="6"/>
  <c r="D235" i="6"/>
  <c r="C235" i="6"/>
  <c r="B235" i="6"/>
  <c r="A235" i="6"/>
  <c r="I235" i="6" s="1"/>
  <c r="G234" i="6"/>
  <c r="H234" i="6" s="1"/>
  <c r="F234" i="6"/>
  <c r="E234" i="6"/>
  <c r="D234" i="6"/>
  <c r="C234" i="6"/>
  <c r="J234" i="6" s="1"/>
  <c r="B234" i="6"/>
  <c r="A234" i="6"/>
  <c r="I234" i="6" s="1"/>
  <c r="H233" i="6"/>
  <c r="G233" i="6"/>
  <c r="F233" i="6"/>
  <c r="E233" i="6"/>
  <c r="D233" i="6"/>
  <c r="C233" i="6"/>
  <c r="K233" i="6" s="1"/>
  <c r="B233" i="6"/>
  <c r="A233" i="6"/>
  <c r="I233" i="6" s="1"/>
  <c r="J232" i="6"/>
  <c r="H232" i="6"/>
  <c r="G232" i="6"/>
  <c r="F232" i="6"/>
  <c r="E232" i="6"/>
  <c r="D232" i="6"/>
  <c r="C232" i="6"/>
  <c r="B232" i="6"/>
  <c r="A232" i="6"/>
  <c r="I232" i="6" s="1"/>
  <c r="N231" i="6"/>
  <c r="G231" i="6"/>
  <c r="F231" i="6"/>
  <c r="H231" i="6" s="1"/>
  <c r="E231" i="6"/>
  <c r="D231" i="6"/>
  <c r="C231" i="6"/>
  <c r="K231" i="6" s="1"/>
  <c r="B231" i="6"/>
  <c r="A231" i="6"/>
  <c r="I231" i="6" s="1"/>
  <c r="G230" i="6"/>
  <c r="H230" i="6" s="1"/>
  <c r="F230" i="6"/>
  <c r="E230" i="6"/>
  <c r="D230" i="6"/>
  <c r="C230" i="6"/>
  <c r="B230" i="6"/>
  <c r="A230" i="6"/>
  <c r="I230" i="6" s="1"/>
  <c r="K229" i="6"/>
  <c r="J229" i="6"/>
  <c r="G229" i="6"/>
  <c r="F229" i="6"/>
  <c r="H229" i="6" s="1"/>
  <c r="E229" i="6"/>
  <c r="D229" i="6"/>
  <c r="C229" i="6"/>
  <c r="B229" i="6"/>
  <c r="A229" i="6"/>
  <c r="I229" i="6" s="1"/>
  <c r="H228" i="6"/>
  <c r="G228" i="6"/>
  <c r="F228" i="6"/>
  <c r="E228" i="6"/>
  <c r="D228" i="6"/>
  <c r="C228" i="6"/>
  <c r="K228" i="6" s="1"/>
  <c r="B228" i="6"/>
  <c r="A228" i="6"/>
  <c r="I228" i="6" s="1"/>
  <c r="J227" i="6"/>
  <c r="I227" i="6"/>
  <c r="G227" i="6"/>
  <c r="F227" i="6"/>
  <c r="H227" i="6" s="1"/>
  <c r="E227" i="6"/>
  <c r="D227" i="6"/>
  <c r="C227" i="6"/>
  <c r="B227" i="6"/>
  <c r="A227" i="6"/>
  <c r="G226" i="6"/>
  <c r="H226" i="6" s="1"/>
  <c r="F226" i="6"/>
  <c r="E226" i="6"/>
  <c r="D226" i="6"/>
  <c r="C226" i="6"/>
  <c r="B226" i="6"/>
  <c r="A226" i="6"/>
  <c r="I226" i="6" s="1"/>
  <c r="K225" i="6"/>
  <c r="J225" i="6"/>
  <c r="I225" i="6"/>
  <c r="G225" i="6"/>
  <c r="F225" i="6"/>
  <c r="H225" i="6" s="1"/>
  <c r="E225" i="6"/>
  <c r="D225" i="6"/>
  <c r="C225" i="6"/>
  <c r="B225" i="6"/>
  <c r="A225" i="6"/>
  <c r="K224" i="6"/>
  <c r="G224" i="6"/>
  <c r="H224" i="6" s="1"/>
  <c r="F224" i="6"/>
  <c r="E224" i="6"/>
  <c r="D224" i="6"/>
  <c r="C224" i="6"/>
  <c r="B224" i="6"/>
  <c r="A224" i="6"/>
  <c r="I224" i="6" s="1"/>
  <c r="J223" i="6"/>
  <c r="I223" i="6"/>
  <c r="G223" i="6"/>
  <c r="F223" i="6"/>
  <c r="E223" i="6"/>
  <c r="D223" i="6"/>
  <c r="C223" i="6"/>
  <c r="B223" i="6"/>
  <c r="A223" i="6"/>
  <c r="H222" i="6"/>
  <c r="G222" i="6"/>
  <c r="F222" i="6"/>
  <c r="E222" i="6"/>
  <c r="D222" i="6"/>
  <c r="C222" i="6"/>
  <c r="K222" i="6" s="1"/>
  <c r="B222" i="6"/>
  <c r="A222" i="6"/>
  <c r="I222" i="6" s="1"/>
  <c r="J221" i="6"/>
  <c r="G221" i="6"/>
  <c r="F221" i="6"/>
  <c r="H221" i="6" s="1"/>
  <c r="E221" i="6"/>
  <c r="D221" i="6"/>
  <c r="C221" i="6"/>
  <c r="B221" i="6"/>
  <c r="A221" i="6"/>
  <c r="I221" i="6" s="1"/>
  <c r="H220" i="6"/>
  <c r="K220" i="6" s="1"/>
  <c r="G220" i="6"/>
  <c r="F220" i="6"/>
  <c r="E220" i="6"/>
  <c r="D220" i="6"/>
  <c r="C220" i="6"/>
  <c r="B220" i="6"/>
  <c r="A220" i="6"/>
  <c r="I220" i="6" s="1"/>
  <c r="J219" i="6"/>
  <c r="G219" i="6"/>
  <c r="F219" i="6"/>
  <c r="H219" i="6" s="1"/>
  <c r="E219" i="6"/>
  <c r="D219" i="6"/>
  <c r="C219" i="6"/>
  <c r="B219" i="6"/>
  <c r="A219" i="6"/>
  <c r="I219" i="6" s="1"/>
  <c r="K218" i="6"/>
  <c r="H218" i="6"/>
  <c r="G218" i="6"/>
  <c r="F218" i="6"/>
  <c r="E218" i="6"/>
  <c r="D218" i="6"/>
  <c r="C218" i="6"/>
  <c r="B218" i="6"/>
  <c r="A218" i="6"/>
  <c r="I218" i="6" s="1"/>
  <c r="K217" i="6"/>
  <c r="I217" i="6"/>
  <c r="G217" i="6"/>
  <c r="F217" i="6"/>
  <c r="H217" i="6" s="1"/>
  <c r="E217" i="6"/>
  <c r="D217" i="6"/>
  <c r="C217" i="6"/>
  <c r="J217" i="6" s="1"/>
  <c r="B217" i="6"/>
  <c r="A217" i="6"/>
  <c r="G216" i="6"/>
  <c r="H216" i="6" s="1"/>
  <c r="F216" i="6"/>
  <c r="E216" i="6"/>
  <c r="D216" i="6"/>
  <c r="C216" i="6"/>
  <c r="B216" i="6"/>
  <c r="A216" i="6"/>
  <c r="I216" i="6" s="1"/>
  <c r="J215" i="6"/>
  <c r="G215" i="6"/>
  <c r="F215" i="6"/>
  <c r="H215" i="6" s="1"/>
  <c r="E215" i="6"/>
  <c r="D215" i="6"/>
  <c r="C215" i="6"/>
  <c r="K215" i="6" s="1"/>
  <c r="B215" i="6"/>
  <c r="A215" i="6"/>
  <c r="I215" i="6" s="1"/>
  <c r="H214" i="6"/>
  <c r="G214" i="6"/>
  <c r="F214" i="6"/>
  <c r="E214" i="6"/>
  <c r="D214" i="6"/>
  <c r="C214" i="6"/>
  <c r="B214" i="6"/>
  <c r="A214" i="6"/>
  <c r="I214" i="6" s="1"/>
  <c r="J213" i="6"/>
  <c r="G213" i="6"/>
  <c r="F213" i="6"/>
  <c r="H213" i="6" s="1"/>
  <c r="K213" i="6" s="1"/>
  <c r="E213" i="6"/>
  <c r="D213" i="6"/>
  <c r="C213" i="6"/>
  <c r="B213" i="6"/>
  <c r="A213" i="6"/>
  <c r="I213" i="6" s="1"/>
  <c r="G212" i="6"/>
  <c r="H212" i="6" s="1"/>
  <c r="F212" i="6"/>
  <c r="E212" i="6"/>
  <c r="D212" i="6"/>
  <c r="C212" i="6"/>
  <c r="B212" i="6"/>
  <c r="A212" i="6"/>
  <c r="I212" i="6" s="1"/>
  <c r="J211" i="6"/>
  <c r="I211" i="6"/>
  <c r="G211" i="6"/>
  <c r="F211" i="6"/>
  <c r="E211" i="6"/>
  <c r="D211" i="6"/>
  <c r="C211" i="6"/>
  <c r="B211" i="6"/>
  <c r="A211" i="6"/>
  <c r="K210" i="6"/>
  <c r="H210" i="6"/>
  <c r="G210" i="6"/>
  <c r="F210" i="6"/>
  <c r="E210" i="6"/>
  <c r="D210" i="6"/>
  <c r="C210" i="6"/>
  <c r="B210" i="6"/>
  <c r="A210" i="6"/>
  <c r="I210" i="6" s="1"/>
  <c r="J209" i="6"/>
  <c r="I209" i="6"/>
  <c r="G209" i="6"/>
  <c r="F209" i="6"/>
  <c r="H209" i="6" s="1"/>
  <c r="E209" i="6"/>
  <c r="D209" i="6"/>
  <c r="C209" i="6"/>
  <c r="B209" i="6"/>
  <c r="A209" i="6"/>
  <c r="K208" i="6"/>
  <c r="H208" i="6"/>
  <c r="G208" i="6"/>
  <c r="F208" i="6"/>
  <c r="E208" i="6"/>
  <c r="D208" i="6"/>
  <c r="C208" i="6"/>
  <c r="B208" i="6"/>
  <c r="A208" i="6"/>
  <c r="I208" i="6" s="1"/>
  <c r="J207" i="6"/>
  <c r="I207" i="6"/>
  <c r="G207" i="6"/>
  <c r="F207" i="6"/>
  <c r="E207" i="6"/>
  <c r="D207" i="6"/>
  <c r="C207" i="6"/>
  <c r="B207" i="6"/>
  <c r="A207" i="6"/>
  <c r="G206" i="6"/>
  <c r="H206" i="6" s="1"/>
  <c r="K206" i="6" s="1"/>
  <c r="F206" i="6"/>
  <c r="E206" i="6"/>
  <c r="D206" i="6"/>
  <c r="C206" i="6"/>
  <c r="B206" i="6"/>
  <c r="A206" i="6"/>
  <c r="I206" i="6" s="1"/>
  <c r="I205" i="6"/>
  <c r="G205" i="6"/>
  <c r="F205" i="6"/>
  <c r="H205" i="6" s="1"/>
  <c r="E205" i="6"/>
  <c r="D205" i="6"/>
  <c r="C205" i="6"/>
  <c r="B205" i="6"/>
  <c r="A205" i="6"/>
  <c r="H204" i="6"/>
  <c r="G204" i="6"/>
  <c r="F204" i="6"/>
  <c r="E204" i="6"/>
  <c r="D204" i="6"/>
  <c r="C204" i="6"/>
  <c r="B204" i="6"/>
  <c r="A204" i="6"/>
  <c r="I204" i="6" s="1"/>
  <c r="N203" i="6"/>
  <c r="G203" i="6"/>
  <c r="H203" i="6" s="1"/>
  <c r="F203" i="6"/>
  <c r="E203" i="6"/>
  <c r="D203" i="6"/>
  <c r="C203" i="6"/>
  <c r="K203" i="6" s="1"/>
  <c r="B203" i="6"/>
  <c r="A203" i="6"/>
  <c r="I203" i="6" s="1"/>
  <c r="G202" i="6"/>
  <c r="H202" i="6" s="1"/>
  <c r="F202" i="6"/>
  <c r="E202" i="6"/>
  <c r="D202" i="6"/>
  <c r="C202" i="6"/>
  <c r="B202" i="6"/>
  <c r="A202" i="6"/>
  <c r="I202" i="6" s="1"/>
  <c r="I201" i="6"/>
  <c r="G201" i="6"/>
  <c r="F201" i="6"/>
  <c r="H201" i="6" s="1"/>
  <c r="K201" i="6" s="1"/>
  <c r="E201" i="6"/>
  <c r="D201" i="6"/>
  <c r="C201" i="6"/>
  <c r="B201" i="6"/>
  <c r="A201" i="6"/>
  <c r="G200" i="6"/>
  <c r="F200" i="6"/>
  <c r="H200" i="6" s="1"/>
  <c r="K200" i="6" s="1"/>
  <c r="E200" i="6"/>
  <c r="D200" i="6"/>
  <c r="C200" i="6"/>
  <c r="J200" i="6" s="1"/>
  <c r="B200" i="6"/>
  <c r="A200" i="6"/>
  <c r="I200" i="6" s="1"/>
  <c r="J199" i="6"/>
  <c r="G199" i="6"/>
  <c r="F199" i="6"/>
  <c r="H199" i="6" s="1"/>
  <c r="E199" i="6"/>
  <c r="D199" i="6"/>
  <c r="C199" i="6"/>
  <c r="B199" i="6"/>
  <c r="A199" i="6"/>
  <c r="I199" i="6" s="1"/>
  <c r="H198" i="6"/>
  <c r="G198" i="6"/>
  <c r="F198" i="6"/>
  <c r="E198" i="6"/>
  <c r="D198" i="6"/>
  <c r="C198" i="6"/>
  <c r="J198" i="6" s="1"/>
  <c r="B198" i="6"/>
  <c r="A198" i="6"/>
  <c r="I198" i="6" s="1"/>
  <c r="I197" i="6"/>
  <c r="G197" i="6"/>
  <c r="F197" i="6"/>
  <c r="H197" i="6" s="1"/>
  <c r="E197" i="6"/>
  <c r="D197" i="6"/>
  <c r="C197" i="6"/>
  <c r="B197" i="6"/>
  <c r="A197" i="6"/>
  <c r="G196" i="6"/>
  <c r="F196" i="6"/>
  <c r="H196" i="6" s="1"/>
  <c r="E196" i="6"/>
  <c r="D196" i="6"/>
  <c r="C196" i="6"/>
  <c r="B196" i="6"/>
  <c r="A196" i="6"/>
  <c r="I196" i="6" s="1"/>
  <c r="J195" i="6"/>
  <c r="I195" i="6"/>
  <c r="G195" i="6"/>
  <c r="F195" i="6"/>
  <c r="H195" i="6" s="1"/>
  <c r="E195" i="6"/>
  <c r="D195" i="6"/>
  <c r="C195" i="6"/>
  <c r="B195" i="6"/>
  <c r="A195" i="6"/>
  <c r="J194" i="6"/>
  <c r="H194" i="6"/>
  <c r="G194" i="6"/>
  <c r="F194" i="6"/>
  <c r="E194" i="6"/>
  <c r="D194" i="6"/>
  <c r="C194" i="6"/>
  <c r="B194" i="6"/>
  <c r="A194" i="6"/>
  <c r="I194" i="6" s="1"/>
  <c r="K193" i="6"/>
  <c r="J193" i="6"/>
  <c r="I193" i="6"/>
  <c r="G193" i="6"/>
  <c r="F193" i="6"/>
  <c r="H193" i="6" s="1"/>
  <c r="E193" i="6"/>
  <c r="D193" i="6"/>
  <c r="C193" i="6"/>
  <c r="B193" i="6"/>
  <c r="A193" i="6"/>
  <c r="G192" i="6"/>
  <c r="F192" i="6"/>
  <c r="H192" i="6" s="1"/>
  <c r="E192" i="6"/>
  <c r="D192" i="6"/>
  <c r="C192" i="6"/>
  <c r="J192" i="6" s="1"/>
  <c r="B192" i="6"/>
  <c r="A192" i="6"/>
  <c r="I192" i="6" s="1"/>
  <c r="J191" i="6"/>
  <c r="G191" i="6"/>
  <c r="F191" i="6"/>
  <c r="H191" i="6" s="1"/>
  <c r="E191" i="6"/>
  <c r="D191" i="6"/>
  <c r="C191" i="6"/>
  <c r="B191" i="6"/>
  <c r="A191" i="6"/>
  <c r="I191" i="6" s="1"/>
  <c r="J190" i="6"/>
  <c r="G190" i="6"/>
  <c r="H190" i="6" s="1"/>
  <c r="F190" i="6"/>
  <c r="E190" i="6"/>
  <c r="D190" i="6"/>
  <c r="C190" i="6"/>
  <c r="B190" i="6"/>
  <c r="A190" i="6"/>
  <c r="I190" i="6" s="1"/>
  <c r="N189" i="6"/>
  <c r="K189" i="6"/>
  <c r="G189" i="6"/>
  <c r="F189" i="6"/>
  <c r="H189" i="6" s="1"/>
  <c r="J189" i="6" s="1"/>
  <c r="E189" i="6"/>
  <c r="D189" i="6"/>
  <c r="C189" i="6"/>
  <c r="B189" i="6"/>
  <c r="A189" i="6"/>
  <c r="I189" i="6" s="1"/>
  <c r="G188" i="6"/>
  <c r="H188" i="6" s="1"/>
  <c r="F188" i="6"/>
  <c r="E188" i="6"/>
  <c r="D188" i="6"/>
  <c r="C188" i="6"/>
  <c r="B188" i="6"/>
  <c r="A188" i="6"/>
  <c r="I188" i="6" s="1"/>
  <c r="J187" i="6"/>
  <c r="G187" i="6"/>
  <c r="H187" i="6" s="1"/>
  <c r="F187" i="6"/>
  <c r="E187" i="6"/>
  <c r="D187" i="6"/>
  <c r="C187" i="6"/>
  <c r="K187" i="6" s="1"/>
  <c r="B187" i="6"/>
  <c r="A187" i="6"/>
  <c r="I187" i="6" s="1"/>
  <c r="G186" i="6"/>
  <c r="H186" i="6" s="1"/>
  <c r="F186" i="6"/>
  <c r="E186" i="6"/>
  <c r="D186" i="6"/>
  <c r="C186" i="6"/>
  <c r="B186" i="6"/>
  <c r="A186" i="6"/>
  <c r="I186" i="6" s="1"/>
  <c r="K185" i="6"/>
  <c r="G185" i="6"/>
  <c r="F185" i="6"/>
  <c r="H185" i="6" s="1"/>
  <c r="E185" i="6"/>
  <c r="D185" i="6"/>
  <c r="C185" i="6"/>
  <c r="B185" i="6"/>
  <c r="A185" i="6"/>
  <c r="I185" i="6" s="1"/>
  <c r="K184" i="6"/>
  <c r="H184" i="6"/>
  <c r="G184" i="6"/>
  <c r="F184" i="6"/>
  <c r="E184" i="6"/>
  <c r="D184" i="6"/>
  <c r="C184" i="6"/>
  <c r="J184" i="6" s="1"/>
  <c r="B184" i="6"/>
  <c r="A184" i="6"/>
  <c r="I184" i="6" s="1"/>
  <c r="J183" i="6"/>
  <c r="H183" i="6"/>
  <c r="G183" i="6"/>
  <c r="F183" i="6"/>
  <c r="E183" i="6"/>
  <c r="D183" i="6"/>
  <c r="C183" i="6"/>
  <c r="B183" i="6"/>
  <c r="A183" i="6"/>
  <c r="I183" i="6" s="1"/>
  <c r="J182" i="6"/>
  <c r="H182" i="6"/>
  <c r="G182" i="6"/>
  <c r="F182" i="6"/>
  <c r="E182" i="6"/>
  <c r="D182" i="6"/>
  <c r="C182" i="6"/>
  <c r="N182" i="6" s="1"/>
  <c r="B182" i="6"/>
  <c r="A182" i="6"/>
  <c r="I182" i="6" s="1"/>
  <c r="I181" i="6"/>
  <c r="G181" i="6"/>
  <c r="F181" i="6"/>
  <c r="H181" i="6" s="1"/>
  <c r="E181" i="6"/>
  <c r="D181" i="6"/>
  <c r="C181" i="6"/>
  <c r="B181" i="6"/>
  <c r="A181" i="6"/>
  <c r="G180" i="6"/>
  <c r="F180" i="6"/>
  <c r="E180" i="6"/>
  <c r="D180" i="6"/>
  <c r="C180" i="6"/>
  <c r="J180" i="6" s="1"/>
  <c r="B180" i="6"/>
  <c r="A180" i="6"/>
  <c r="I180" i="6" s="1"/>
  <c r="J179" i="6"/>
  <c r="G179" i="6"/>
  <c r="F179" i="6"/>
  <c r="H179" i="6" s="1"/>
  <c r="E179" i="6"/>
  <c r="D179" i="6"/>
  <c r="C179" i="6"/>
  <c r="B179" i="6"/>
  <c r="A179" i="6"/>
  <c r="I179" i="6" s="1"/>
  <c r="J178" i="6"/>
  <c r="I178" i="6"/>
  <c r="G178" i="6"/>
  <c r="H178" i="6" s="1"/>
  <c r="F178" i="6"/>
  <c r="E178" i="6"/>
  <c r="D178" i="6"/>
  <c r="C178" i="6"/>
  <c r="B178" i="6"/>
  <c r="A178" i="6"/>
  <c r="J177" i="6"/>
  <c r="G177" i="6"/>
  <c r="F177" i="6"/>
  <c r="H177" i="6" s="1"/>
  <c r="E177" i="6"/>
  <c r="D177" i="6"/>
  <c r="C177" i="6"/>
  <c r="B177" i="6"/>
  <c r="A177" i="6"/>
  <c r="I177" i="6" s="1"/>
  <c r="G176" i="6"/>
  <c r="F176" i="6"/>
  <c r="E176" i="6"/>
  <c r="D176" i="6"/>
  <c r="C176" i="6"/>
  <c r="B176" i="6"/>
  <c r="A176" i="6"/>
  <c r="I176" i="6" s="1"/>
  <c r="N175" i="6"/>
  <c r="G175" i="6"/>
  <c r="F175" i="6"/>
  <c r="E175" i="6"/>
  <c r="D175" i="6"/>
  <c r="C175" i="6"/>
  <c r="K175" i="6" s="1"/>
  <c r="B175" i="6"/>
  <c r="A175" i="6"/>
  <c r="I175" i="6" s="1"/>
  <c r="J174" i="6"/>
  <c r="G174" i="6"/>
  <c r="H174" i="6" s="1"/>
  <c r="K174" i="6" s="1"/>
  <c r="F174" i="6"/>
  <c r="E174" i="6"/>
  <c r="D174" i="6"/>
  <c r="C174" i="6"/>
  <c r="B174" i="6"/>
  <c r="A174" i="6"/>
  <c r="I174" i="6" s="1"/>
  <c r="K173" i="6"/>
  <c r="J173" i="6"/>
  <c r="G173" i="6"/>
  <c r="F173" i="6"/>
  <c r="H173" i="6" s="1"/>
  <c r="E173" i="6"/>
  <c r="D173" i="6"/>
  <c r="C173" i="6"/>
  <c r="B173" i="6"/>
  <c r="A173" i="6"/>
  <c r="I173" i="6" s="1"/>
  <c r="G172" i="6"/>
  <c r="H172" i="6" s="1"/>
  <c r="F172" i="6"/>
  <c r="E172" i="6"/>
  <c r="D172" i="6"/>
  <c r="C172" i="6"/>
  <c r="B172" i="6"/>
  <c r="A172" i="6"/>
  <c r="I172" i="6" s="1"/>
  <c r="J171" i="6"/>
  <c r="H171" i="6"/>
  <c r="G171" i="6"/>
  <c r="F171" i="6"/>
  <c r="E171" i="6"/>
  <c r="D171" i="6"/>
  <c r="C171" i="6"/>
  <c r="K171" i="6" s="1"/>
  <c r="B171" i="6"/>
  <c r="A171" i="6"/>
  <c r="I171" i="6" s="1"/>
  <c r="G170" i="6"/>
  <c r="H170" i="6" s="1"/>
  <c r="K170" i="6" s="1"/>
  <c r="F170" i="6"/>
  <c r="E170" i="6"/>
  <c r="D170" i="6"/>
  <c r="C170" i="6"/>
  <c r="B170" i="6"/>
  <c r="A170" i="6"/>
  <c r="I170" i="6" s="1"/>
  <c r="I169" i="6"/>
  <c r="G169" i="6"/>
  <c r="F169" i="6"/>
  <c r="H169" i="6" s="1"/>
  <c r="E169" i="6"/>
  <c r="D169" i="6"/>
  <c r="C169" i="6"/>
  <c r="B169" i="6"/>
  <c r="A169" i="6"/>
  <c r="K168" i="6"/>
  <c r="H168" i="6"/>
  <c r="G168" i="6"/>
  <c r="F168" i="6"/>
  <c r="E168" i="6"/>
  <c r="D168" i="6"/>
  <c r="C168" i="6"/>
  <c r="B168" i="6"/>
  <c r="A168" i="6"/>
  <c r="I168" i="6" s="1"/>
  <c r="H167" i="6"/>
  <c r="K167" i="6" s="1"/>
  <c r="G167" i="6"/>
  <c r="F167" i="6"/>
  <c r="E167" i="6"/>
  <c r="D167" i="6"/>
  <c r="C167" i="6"/>
  <c r="B167" i="6"/>
  <c r="A167" i="6"/>
  <c r="I167" i="6" s="1"/>
  <c r="J166" i="6"/>
  <c r="H166" i="6"/>
  <c r="G166" i="6"/>
  <c r="F166" i="6"/>
  <c r="E166" i="6"/>
  <c r="D166" i="6"/>
  <c r="C166" i="6"/>
  <c r="B166" i="6"/>
  <c r="A166" i="6"/>
  <c r="I166" i="6" s="1"/>
  <c r="J165" i="6"/>
  <c r="G165" i="6"/>
  <c r="F165" i="6"/>
  <c r="E165" i="6"/>
  <c r="D165" i="6"/>
  <c r="C165" i="6"/>
  <c r="B165" i="6"/>
  <c r="A165" i="6"/>
  <c r="I165" i="6" s="1"/>
  <c r="H164" i="6"/>
  <c r="G164" i="6"/>
  <c r="F164" i="6"/>
  <c r="E164" i="6"/>
  <c r="D164" i="6"/>
  <c r="C164" i="6"/>
  <c r="B164" i="6"/>
  <c r="A164" i="6"/>
  <c r="I164" i="6" s="1"/>
  <c r="J163" i="6"/>
  <c r="I163" i="6"/>
  <c r="G163" i="6"/>
  <c r="F163" i="6"/>
  <c r="H163" i="6" s="1"/>
  <c r="K163" i="6" s="1"/>
  <c r="E163" i="6"/>
  <c r="D163" i="6"/>
  <c r="C163" i="6"/>
  <c r="B163" i="6"/>
  <c r="A163" i="6"/>
  <c r="G162" i="6"/>
  <c r="H162" i="6" s="1"/>
  <c r="F162" i="6"/>
  <c r="E162" i="6"/>
  <c r="D162" i="6"/>
  <c r="C162" i="6"/>
  <c r="B162" i="6"/>
  <c r="A162" i="6"/>
  <c r="I162" i="6" s="1"/>
  <c r="K161" i="6"/>
  <c r="G161" i="6"/>
  <c r="F161" i="6"/>
  <c r="E161" i="6"/>
  <c r="D161" i="6"/>
  <c r="C161" i="6"/>
  <c r="B161" i="6"/>
  <c r="A161" i="6"/>
  <c r="I161" i="6" s="1"/>
  <c r="H160" i="6"/>
  <c r="G160" i="6"/>
  <c r="F160" i="6"/>
  <c r="E160" i="6"/>
  <c r="D160" i="6"/>
  <c r="C160" i="6"/>
  <c r="B160" i="6"/>
  <c r="A160" i="6"/>
  <c r="I160" i="6" s="1"/>
  <c r="J159" i="6"/>
  <c r="G159" i="6"/>
  <c r="F159" i="6"/>
  <c r="E159" i="6"/>
  <c r="D159" i="6"/>
  <c r="C159" i="6"/>
  <c r="B159" i="6"/>
  <c r="A159" i="6"/>
  <c r="I159" i="6" s="1"/>
  <c r="J158" i="6"/>
  <c r="H158" i="6"/>
  <c r="G158" i="6"/>
  <c r="F158" i="6"/>
  <c r="E158" i="6"/>
  <c r="D158" i="6"/>
  <c r="C158" i="6"/>
  <c r="B158" i="6"/>
  <c r="A158" i="6"/>
  <c r="I158" i="6" s="1"/>
  <c r="J157" i="6"/>
  <c r="G157" i="6"/>
  <c r="F157" i="6"/>
  <c r="E157" i="6"/>
  <c r="D157" i="6"/>
  <c r="C157" i="6"/>
  <c r="B157" i="6"/>
  <c r="A157" i="6"/>
  <c r="I157" i="6" s="1"/>
  <c r="G156" i="6"/>
  <c r="F156" i="6"/>
  <c r="H156" i="6" s="1"/>
  <c r="E156" i="6"/>
  <c r="D156" i="6"/>
  <c r="C156" i="6"/>
  <c r="K156" i="6" s="1"/>
  <c r="B156" i="6"/>
  <c r="A156" i="6"/>
  <c r="I156" i="6" s="1"/>
  <c r="G155" i="6"/>
  <c r="F155" i="6"/>
  <c r="E155" i="6"/>
  <c r="D155" i="6"/>
  <c r="C155" i="6"/>
  <c r="B155" i="6"/>
  <c r="A155" i="6"/>
  <c r="I155" i="6" s="1"/>
  <c r="H154" i="6"/>
  <c r="G154" i="6"/>
  <c r="F154" i="6"/>
  <c r="E154" i="6"/>
  <c r="D154" i="6"/>
  <c r="C154" i="6"/>
  <c r="B154" i="6"/>
  <c r="A154" i="6"/>
  <c r="I154" i="6" s="1"/>
  <c r="K153" i="6"/>
  <c r="G153" i="6"/>
  <c r="F153" i="6"/>
  <c r="H153" i="6" s="1"/>
  <c r="E153" i="6"/>
  <c r="D153" i="6"/>
  <c r="C153" i="6"/>
  <c r="J153" i="6" s="1"/>
  <c r="B153" i="6"/>
  <c r="A153" i="6"/>
  <c r="I153" i="6" s="1"/>
  <c r="H152" i="6"/>
  <c r="G152" i="6"/>
  <c r="F152" i="6"/>
  <c r="E152" i="6"/>
  <c r="D152" i="6"/>
  <c r="C152" i="6"/>
  <c r="K152" i="6" s="1"/>
  <c r="B152" i="6"/>
  <c r="A152" i="6"/>
  <c r="I152" i="6" s="1"/>
  <c r="K151" i="6"/>
  <c r="H151" i="6"/>
  <c r="G151" i="6"/>
  <c r="F151" i="6"/>
  <c r="E151" i="6"/>
  <c r="D151" i="6"/>
  <c r="C151" i="6"/>
  <c r="B151" i="6"/>
  <c r="A151" i="6"/>
  <c r="I151" i="6" s="1"/>
  <c r="J150" i="6"/>
  <c r="H150" i="6"/>
  <c r="G150" i="6"/>
  <c r="F150" i="6"/>
  <c r="E150" i="6"/>
  <c r="D150" i="6"/>
  <c r="C150" i="6"/>
  <c r="B150" i="6"/>
  <c r="A150" i="6"/>
  <c r="I150" i="6" s="1"/>
  <c r="J149" i="6"/>
  <c r="G149" i="6"/>
  <c r="F149" i="6"/>
  <c r="E149" i="6"/>
  <c r="D149" i="6"/>
  <c r="C149" i="6"/>
  <c r="B149" i="6"/>
  <c r="A149" i="6"/>
  <c r="I149" i="6" s="1"/>
  <c r="G148" i="6"/>
  <c r="H148" i="6" s="1"/>
  <c r="F148" i="6"/>
  <c r="E148" i="6"/>
  <c r="D148" i="6"/>
  <c r="C148" i="6"/>
  <c r="B148" i="6"/>
  <c r="A148" i="6"/>
  <c r="I148" i="6" s="1"/>
  <c r="N147" i="6"/>
  <c r="I147" i="6"/>
  <c r="G147" i="6"/>
  <c r="F147" i="6"/>
  <c r="H147" i="6" s="1"/>
  <c r="J147" i="6" s="1"/>
  <c r="E147" i="6"/>
  <c r="D147" i="6"/>
  <c r="C147" i="6"/>
  <c r="B147" i="6"/>
  <c r="A147" i="6"/>
  <c r="J146" i="6"/>
  <c r="H146" i="6"/>
  <c r="G146" i="6"/>
  <c r="F146" i="6"/>
  <c r="E146" i="6"/>
  <c r="D146" i="6"/>
  <c r="C146" i="6"/>
  <c r="B146" i="6"/>
  <c r="A146" i="6"/>
  <c r="I146" i="6" s="1"/>
  <c r="G145" i="6"/>
  <c r="F145" i="6"/>
  <c r="H145" i="6" s="1"/>
  <c r="E145" i="6"/>
  <c r="D145" i="6"/>
  <c r="C145" i="6"/>
  <c r="B145" i="6"/>
  <c r="A145" i="6"/>
  <c r="I145" i="6" s="1"/>
  <c r="G144" i="6"/>
  <c r="F144" i="6"/>
  <c r="H144" i="6" s="1"/>
  <c r="E144" i="6"/>
  <c r="D144" i="6"/>
  <c r="C144" i="6"/>
  <c r="B144" i="6"/>
  <c r="A144" i="6"/>
  <c r="I144" i="6" s="1"/>
  <c r="G143" i="6"/>
  <c r="F143" i="6"/>
  <c r="H143" i="6" s="1"/>
  <c r="E143" i="6"/>
  <c r="D143" i="6"/>
  <c r="C143" i="6"/>
  <c r="B143" i="6"/>
  <c r="A143" i="6"/>
  <c r="I143" i="6" s="1"/>
  <c r="J142" i="6"/>
  <c r="H142" i="6"/>
  <c r="G142" i="6"/>
  <c r="F142" i="6"/>
  <c r="E142" i="6"/>
  <c r="D142" i="6"/>
  <c r="C142" i="6"/>
  <c r="B142" i="6"/>
  <c r="A142" i="6"/>
  <c r="I142" i="6" s="1"/>
  <c r="G141" i="6"/>
  <c r="F141" i="6"/>
  <c r="H141" i="6" s="1"/>
  <c r="E141" i="6"/>
  <c r="D141" i="6"/>
  <c r="C141" i="6"/>
  <c r="B141" i="6"/>
  <c r="A141" i="6"/>
  <c r="I141" i="6" s="1"/>
  <c r="N140" i="6"/>
  <c r="H140" i="6"/>
  <c r="G140" i="6"/>
  <c r="F140" i="6"/>
  <c r="E140" i="6"/>
  <c r="D140" i="6"/>
  <c r="C140" i="6"/>
  <c r="K140" i="6" s="1"/>
  <c r="B140" i="6"/>
  <c r="A140" i="6"/>
  <c r="I140" i="6" s="1"/>
  <c r="J139" i="6"/>
  <c r="G139" i="6"/>
  <c r="H139" i="6" s="1"/>
  <c r="F139" i="6"/>
  <c r="E139" i="6"/>
  <c r="D139" i="6"/>
  <c r="C139" i="6"/>
  <c r="B139" i="6"/>
  <c r="A139" i="6"/>
  <c r="I139" i="6" s="1"/>
  <c r="K138" i="6"/>
  <c r="H138" i="6"/>
  <c r="G138" i="6"/>
  <c r="F138" i="6"/>
  <c r="E138" i="6"/>
  <c r="D138" i="6"/>
  <c r="C138" i="6"/>
  <c r="B138" i="6"/>
  <c r="A138" i="6"/>
  <c r="I138" i="6" s="1"/>
  <c r="G137" i="6"/>
  <c r="F137" i="6"/>
  <c r="E137" i="6"/>
  <c r="D137" i="6"/>
  <c r="C137" i="6"/>
  <c r="B137" i="6"/>
  <c r="A137" i="6"/>
  <c r="I137" i="6" s="1"/>
  <c r="H136" i="6"/>
  <c r="K136" i="6" s="1"/>
  <c r="G136" i="6"/>
  <c r="F136" i="6"/>
  <c r="E136" i="6"/>
  <c r="D136" i="6"/>
  <c r="C136" i="6"/>
  <c r="B136" i="6"/>
  <c r="A136" i="6"/>
  <c r="I136" i="6" s="1"/>
  <c r="H135" i="6"/>
  <c r="G135" i="6"/>
  <c r="F135" i="6"/>
  <c r="E135" i="6"/>
  <c r="D135" i="6"/>
  <c r="C135" i="6"/>
  <c r="B135" i="6"/>
  <c r="A135" i="6"/>
  <c r="I135" i="6" s="1"/>
  <c r="G134" i="6"/>
  <c r="H134" i="6" s="1"/>
  <c r="F134" i="6"/>
  <c r="E134" i="6"/>
  <c r="D134" i="6"/>
  <c r="C134" i="6"/>
  <c r="B134" i="6"/>
  <c r="A134" i="6"/>
  <c r="I134" i="6" s="1"/>
  <c r="G133" i="6"/>
  <c r="F133" i="6"/>
  <c r="H133" i="6" s="1"/>
  <c r="E133" i="6"/>
  <c r="D133" i="6"/>
  <c r="C133" i="6"/>
  <c r="N133" i="6" s="1"/>
  <c r="B133" i="6"/>
  <c r="A133" i="6"/>
  <c r="I133" i="6" s="1"/>
  <c r="K132" i="6"/>
  <c r="I132" i="6"/>
  <c r="G132" i="6"/>
  <c r="F132" i="6"/>
  <c r="H132" i="6" s="1"/>
  <c r="E132" i="6"/>
  <c r="D132" i="6"/>
  <c r="C132" i="6"/>
  <c r="B132" i="6"/>
  <c r="A132" i="6"/>
  <c r="G131" i="6"/>
  <c r="F131" i="6"/>
  <c r="H131" i="6" s="1"/>
  <c r="E131" i="6"/>
  <c r="D131" i="6"/>
  <c r="C131" i="6"/>
  <c r="B131" i="6"/>
  <c r="A131" i="6"/>
  <c r="I131" i="6" s="1"/>
  <c r="G130" i="6"/>
  <c r="H130" i="6" s="1"/>
  <c r="F130" i="6"/>
  <c r="E130" i="6"/>
  <c r="D130" i="6"/>
  <c r="C130" i="6"/>
  <c r="B130" i="6"/>
  <c r="A130" i="6"/>
  <c r="I130" i="6" s="1"/>
  <c r="I129" i="6"/>
  <c r="G129" i="6"/>
  <c r="F129" i="6"/>
  <c r="H129" i="6" s="1"/>
  <c r="E129" i="6"/>
  <c r="D129" i="6"/>
  <c r="C129" i="6"/>
  <c r="B129" i="6"/>
  <c r="A129" i="6"/>
  <c r="G128" i="6"/>
  <c r="F128" i="6"/>
  <c r="H128" i="6" s="1"/>
  <c r="E128" i="6"/>
  <c r="D128" i="6"/>
  <c r="C128" i="6"/>
  <c r="B128" i="6"/>
  <c r="A128" i="6"/>
  <c r="I128" i="6" s="1"/>
  <c r="J127" i="6"/>
  <c r="G127" i="6"/>
  <c r="H127" i="6" s="1"/>
  <c r="F127" i="6"/>
  <c r="E127" i="6"/>
  <c r="D127" i="6"/>
  <c r="C127" i="6"/>
  <c r="B127" i="6"/>
  <c r="A127" i="6"/>
  <c r="I127" i="6" s="1"/>
  <c r="H126" i="6"/>
  <c r="J126" i="6" s="1"/>
  <c r="G126" i="6"/>
  <c r="F126" i="6"/>
  <c r="E126" i="6"/>
  <c r="D126" i="6"/>
  <c r="C126" i="6"/>
  <c r="N126" i="6" s="1"/>
  <c r="B126" i="6"/>
  <c r="A126" i="6"/>
  <c r="I126" i="6" s="1"/>
  <c r="J125" i="6"/>
  <c r="G125" i="6"/>
  <c r="F125" i="6"/>
  <c r="H125" i="6" s="1"/>
  <c r="K125" i="6" s="1"/>
  <c r="E125" i="6"/>
  <c r="D125" i="6"/>
  <c r="C125" i="6"/>
  <c r="B125" i="6"/>
  <c r="A125" i="6"/>
  <c r="I125" i="6" s="1"/>
  <c r="G124" i="6"/>
  <c r="F124" i="6"/>
  <c r="H124" i="6" s="1"/>
  <c r="K124" i="6" s="1"/>
  <c r="E124" i="6"/>
  <c r="D124" i="6"/>
  <c r="C124" i="6"/>
  <c r="J124" i="6" s="1"/>
  <c r="B124" i="6"/>
  <c r="A124" i="6"/>
  <c r="I124" i="6" s="1"/>
  <c r="J123" i="6"/>
  <c r="G123" i="6"/>
  <c r="F123" i="6"/>
  <c r="H123" i="6" s="1"/>
  <c r="E123" i="6"/>
  <c r="D123" i="6"/>
  <c r="C123" i="6"/>
  <c r="B123" i="6"/>
  <c r="A123" i="6"/>
  <c r="I123" i="6" s="1"/>
  <c r="K122" i="6"/>
  <c r="J122" i="6"/>
  <c r="G122" i="6"/>
  <c r="H122" i="6" s="1"/>
  <c r="F122" i="6"/>
  <c r="E122" i="6"/>
  <c r="D122" i="6"/>
  <c r="C122" i="6"/>
  <c r="B122" i="6"/>
  <c r="A122" i="6"/>
  <c r="I122" i="6" s="1"/>
  <c r="G121" i="6"/>
  <c r="F121" i="6"/>
  <c r="E121" i="6"/>
  <c r="D121" i="6"/>
  <c r="C121" i="6"/>
  <c r="B121" i="6"/>
  <c r="A121" i="6"/>
  <c r="I121" i="6" s="1"/>
  <c r="H120" i="6"/>
  <c r="K120" i="6" s="1"/>
  <c r="G120" i="6"/>
  <c r="F120" i="6"/>
  <c r="E120" i="6"/>
  <c r="D120" i="6"/>
  <c r="C120" i="6"/>
  <c r="B120" i="6"/>
  <c r="A120" i="6"/>
  <c r="I120" i="6" s="1"/>
  <c r="H119" i="6"/>
  <c r="G119" i="6"/>
  <c r="F119" i="6"/>
  <c r="E119" i="6"/>
  <c r="D119" i="6"/>
  <c r="C119" i="6"/>
  <c r="B119" i="6"/>
  <c r="A119" i="6"/>
  <c r="I119" i="6" s="1"/>
  <c r="G118" i="6"/>
  <c r="H118" i="6" s="1"/>
  <c r="F118" i="6"/>
  <c r="E118" i="6"/>
  <c r="D118" i="6"/>
  <c r="C118" i="6"/>
  <c r="B118" i="6"/>
  <c r="A118" i="6"/>
  <c r="I118" i="6" s="1"/>
  <c r="G117" i="6"/>
  <c r="F117" i="6"/>
  <c r="H117" i="6" s="1"/>
  <c r="E117" i="6"/>
  <c r="D117" i="6"/>
  <c r="C117" i="6"/>
  <c r="B117" i="6"/>
  <c r="A117" i="6"/>
  <c r="I117" i="6" s="1"/>
  <c r="J116" i="6"/>
  <c r="G116" i="6"/>
  <c r="F116" i="6"/>
  <c r="H116" i="6" s="1"/>
  <c r="E116" i="6"/>
  <c r="D116" i="6"/>
  <c r="C116" i="6"/>
  <c r="B116" i="6"/>
  <c r="A116" i="6"/>
  <c r="I116" i="6" s="1"/>
  <c r="J115" i="6"/>
  <c r="H115" i="6"/>
  <c r="G115" i="6"/>
  <c r="F115" i="6"/>
  <c r="E115" i="6"/>
  <c r="D115" i="6"/>
  <c r="C115" i="6"/>
  <c r="B115" i="6"/>
  <c r="A115" i="6"/>
  <c r="I115" i="6" s="1"/>
  <c r="H114" i="6"/>
  <c r="G114" i="6"/>
  <c r="F114" i="6"/>
  <c r="E114" i="6"/>
  <c r="D114" i="6"/>
  <c r="C114" i="6"/>
  <c r="K114" i="6" s="1"/>
  <c r="B114" i="6"/>
  <c r="A114" i="6"/>
  <c r="I114" i="6" s="1"/>
  <c r="J113" i="6"/>
  <c r="G113" i="6"/>
  <c r="F113" i="6"/>
  <c r="H113" i="6" s="1"/>
  <c r="E113" i="6"/>
  <c r="D113" i="6"/>
  <c r="C113" i="6"/>
  <c r="B113" i="6"/>
  <c r="A113" i="6"/>
  <c r="I113" i="6" s="1"/>
  <c r="N112" i="6"/>
  <c r="G112" i="6"/>
  <c r="F112" i="6"/>
  <c r="H112" i="6" s="1"/>
  <c r="J112" i="6" s="1"/>
  <c r="E112" i="6"/>
  <c r="D112" i="6"/>
  <c r="C112" i="6"/>
  <c r="K112" i="6" s="1"/>
  <c r="B112" i="6"/>
  <c r="A112" i="6"/>
  <c r="I112" i="6" s="1"/>
  <c r="J111" i="6"/>
  <c r="H111" i="6"/>
  <c r="G111" i="6"/>
  <c r="F111" i="6"/>
  <c r="E111" i="6"/>
  <c r="D111" i="6"/>
  <c r="C111" i="6"/>
  <c r="B111" i="6"/>
  <c r="A111" i="6"/>
  <c r="I111" i="6" s="1"/>
  <c r="H110" i="6"/>
  <c r="K110" i="6" s="1"/>
  <c r="G110" i="6"/>
  <c r="F110" i="6"/>
  <c r="E110" i="6"/>
  <c r="D110" i="6"/>
  <c r="C110" i="6"/>
  <c r="B110" i="6"/>
  <c r="A110" i="6"/>
  <c r="I110" i="6" s="1"/>
  <c r="J109" i="6"/>
  <c r="G109" i="6"/>
  <c r="F109" i="6"/>
  <c r="H109" i="6" s="1"/>
  <c r="E109" i="6"/>
  <c r="D109" i="6"/>
  <c r="C109" i="6"/>
  <c r="B109" i="6"/>
  <c r="A109" i="6"/>
  <c r="I109" i="6" s="1"/>
  <c r="G108" i="6"/>
  <c r="F108" i="6"/>
  <c r="H108" i="6" s="1"/>
  <c r="E108" i="6"/>
  <c r="D108" i="6"/>
  <c r="C108" i="6"/>
  <c r="B108" i="6"/>
  <c r="A108" i="6"/>
  <c r="I108" i="6" s="1"/>
  <c r="J107" i="6"/>
  <c r="H107" i="6"/>
  <c r="G107" i="6"/>
  <c r="F107" i="6"/>
  <c r="E107" i="6"/>
  <c r="D107" i="6"/>
  <c r="C107" i="6"/>
  <c r="B107" i="6"/>
  <c r="A107" i="6"/>
  <c r="I107" i="6" s="1"/>
  <c r="K106" i="6"/>
  <c r="H106" i="6"/>
  <c r="G106" i="6"/>
  <c r="F106" i="6"/>
  <c r="E106" i="6"/>
  <c r="D106" i="6"/>
  <c r="C106" i="6"/>
  <c r="B106" i="6"/>
  <c r="A106" i="6"/>
  <c r="I106" i="6" s="1"/>
  <c r="N105" i="6"/>
  <c r="K105" i="6"/>
  <c r="G105" i="6"/>
  <c r="F105" i="6"/>
  <c r="H105" i="6" s="1"/>
  <c r="E105" i="6"/>
  <c r="D105" i="6"/>
  <c r="C105" i="6"/>
  <c r="B105" i="6"/>
  <c r="A105" i="6"/>
  <c r="I105" i="6" s="1"/>
  <c r="G104" i="6"/>
  <c r="F104" i="6"/>
  <c r="H104" i="6" s="1"/>
  <c r="E104" i="6"/>
  <c r="D104" i="6"/>
  <c r="C104" i="6"/>
  <c r="K104" i="6" s="1"/>
  <c r="B104" i="6"/>
  <c r="A104" i="6"/>
  <c r="I104" i="6" s="1"/>
  <c r="J103" i="6"/>
  <c r="H103" i="6"/>
  <c r="G103" i="6"/>
  <c r="F103" i="6"/>
  <c r="E103" i="6"/>
  <c r="D103" i="6"/>
  <c r="C103" i="6"/>
  <c r="B103" i="6"/>
  <c r="A103" i="6"/>
  <c r="I103" i="6" s="1"/>
  <c r="H102" i="6"/>
  <c r="G102" i="6"/>
  <c r="F102" i="6"/>
  <c r="E102" i="6"/>
  <c r="D102" i="6"/>
  <c r="C102" i="6"/>
  <c r="K102" i="6" s="1"/>
  <c r="B102" i="6"/>
  <c r="A102" i="6"/>
  <c r="I102" i="6" s="1"/>
  <c r="J101" i="6"/>
  <c r="G101" i="6"/>
  <c r="F101" i="6"/>
  <c r="H101" i="6" s="1"/>
  <c r="E101" i="6"/>
  <c r="D101" i="6"/>
  <c r="C101" i="6"/>
  <c r="B101" i="6"/>
  <c r="A101" i="6"/>
  <c r="I101" i="6" s="1"/>
  <c r="J100" i="6"/>
  <c r="G100" i="6"/>
  <c r="F100" i="6"/>
  <c r="H100" i="6" s="1"/>
  <c r="E100" i="6"/>
  <c r="D100" i="6"/>
  <c r="C100" i="6"/>
  <c r="B100" i="6"/>
  <c r="A100" i="6"/>
  <c r="I100" i="6" s="1"/>
  <c r="J99" i="6"/>
  <c r="G99" i="6"/>
  <c r="F99" i="6"/>
  <c r="H99" i="6" s="1"/>
  <c r="E99" i="6"/>
  <c r="D99" i="6"/>
  <c r="C99" i="6"/>
  <c r="B99" i="6"/>
  <c r="A99" i="6"/>
  <c r="I99" i="6" s="1"/>
  <c r="J98" i="6"/>
  <c r="H98" i="6"/>
  <c r="G98" i="6"/>
  <c r="F98" i="6"/>
  <c r="E98" i="6"/>
  <c r="D98" i="6"/>
  <c r="C98" i="6"/>
  <c r="N98" i="6" s="1"/>
  <c r="B98" i="6"/>
  <c r="A98" i="6"/>
  <c r="I98" i="6" s="1"/>
  <c r="G97" i="6"/>
  <c r="F97" i="6"/>
  <c r="H97" i="6" s="1"/>
  <c r="K97" i="6" s="1"/>
  <c r="E97" i="6"/>
  <c r="D97" i="6"/>
  <c r="C97" i="6"/>
  <c r="B97" i="6"/>
  <c r="A97" i="6"/>
  <c r="I97" i="6" s="1"/>
  <c r="J96" i="6"/>
  <c r="G96" i="6"/>
  <c r="H96" i="6" s="1"/>
  <c r="F96" i="6"/>
  <c r="E96" i="6"/>
  <c r="D96" i="6"/>
  <c r="C96" i="6"/>
  <c r="B96" i="6"/>
  <c r="A96" i="6"/>
  <c r="I96" i="6" s="1"/>
  <c r="J95" i="6"/>
  <c r="G95" i="6"/>
  <c r="F95" i="6"/>
  <c r="H95" i="6" s="1"/>
  <c r="E95" i="6"/>
  <c r="D95" i="6"/>
  <c r="C95" i="6"/>
  <c r="B95" i="6"/>
  <c r="A95" i="6"/>
  <c r="I95" i="6" s="1"/>
  <c r="J94" i="6"/>
  <c r="H94" i="6"/>
  <c r="G94" i="6"/>
  <c r="F94" i="6"/>
  <c r="E94" i="6"/>
  <c r="D94" i="6"/>
  <c r="C94" i="6"/>
  <c r="B94" i="6"/>
  <c r="A94" i="6"/>
  <c r="I94" i="6" s="1"/>
  <c r="J93" i="6"/>
  <c r="G93" i="6"/>
  <c r="F93" i="6"/>
  <c r="H93" i="6" s="1"/>
  <c r="E93" i="6"/>
  <c r="D93" i="6"/>
  <c r="C93" i="6"/>
  <c r="B93" i="6"/>
  <c r="A93" i="6"/>
  <c r="I93" i="6" s="1"/>
  <c r="G92" i="6"/>
  <c r="H92" i="6" s="1"/>
  <c r="F92" i="6"/>
  <c r="E92" i="6"/>
  <c r="D92" i="6"/>
  <c r="C92" i="6"/>
  <c r="K92" i="6" s="1"/>
  <c r="B92" i="6"/>
  <c r="A92" i="6"/>
  <c r="I92" i="6" s="1"/>
  <c r="N91" i="6"/>
  <c r="G91" i="6"/>
  <c r="F91" i="6"/>
  <c r="H91" i="6" s="1"/>
  <c r="J91" i="6" s="1"/>
  <c r="E91" i="6"/>
  <c r="D91" i="6"/>
  <c r="C91" i="6"/>
  <c r="B91" i="6"/>
  <c r="A91" i="6"/>
  <c r="I91" i="6" s="1"/>
  <c r="J90" i="6"/>
  <c r="H90" i="6"/>
  <c r="G90" i="6"/>
  <c r="F90" i="6"/>
  <c r="E90" i="6"/>
  <c r="D90" i="6"/>
  <c r="C90" i="6"/>
  <c r="B90" i="6"/>
  <c r="A90" i="6"/>
  <c r="I90" i="6" s="1"/>
  <c r="J89" i="6"/>
  <c r="G89" i="6"/>
  <c r="F89" i="6"/>
  <c r="H89" i="6" s="1"/>
  <c r="E89" i="6"/>
  <c r="D89" i="6"/>
  <c r="C89" i="6"/>
  <c r="K89" i="6" s="1"/>
  <c r="B89" i="6"/>
  <c r="A89" i="6"/>
  <c r="I89" i="6" s="1"/>
  <c r="G88" i="6"/>
  <c r="H88" i="6" s="1"/>
  <c r="F88" i="6"/>
  <c r="E88" i="6"/>
  <c r="D88" i="6"/>
  <c r="C88" i="6"/>
  <c r="K88" i="6" s="1"/>
  <c r="B88" i="6"/>
  <c r="A88" i="6"/>
  <c r="I88" i="6" s="1"/>
  <c r="J87" i="6"/>
  <c r="G87" i="6"/>
  <c r="F87" i="6"/>
  <c r="H87" i="6" s="1"/>
  <c r="E87" i="6"/>
  <c r="D87" i="6"/>
  <c r="C87" i="6"/>
  <c r="B87" i="6"/>
  <c r="A87" i="6"/>
  <c r="I87" i="6" s="1"/>
  <c r="H86" i="6"/>
  <c r="G86" i="6"/>
  <c r="F86" i="6"/>
  <c r="E86" i="6"/>
  <c r="D86" i="6"/>
  <c r="C86" i="6"/>
  <c r="K86" i="6" s="1"/>
  <c r="B86" i="6"/>
  <c r="A86" i="6"/>
  <c r="I86" i="6" s="1"/>
  <c r="J85" i="6"/>
  <c r="G85" i="6"/>
  <c r="F85" i="6"/>
  <c r="H85" i="6" s="1"/>
  <c r="E85" i="6"/>
  <c r="D85" i="6"/>
  <c r="C85" i="6"/>
  <c r="K85" i="6" s="1"/>
  <c r="B85" i="6"/>
  <c r="A85" i="6"/>
  <c r="I85" i="6" s="1"/>
  <c r="N84" i="6"/>
  <c r="G84" i="6"/>
  <c r="H84" i="6" s="1"/>
  <c r="F84" i="6"/>
  <c r="E84" i="6"/>
  <c r="D84" i="6"/>
  <c r="C84" i="6"/>
  <c r="K84" i="6" s="1"/>
  <c r="B84" i="6"/>
  <c r="A84" i="6"/>
  <c r="I84" i="6" s="1"/>
  <c r="J83" i="6"/>
  <c r="G83" i="6"/>
  <c r="F83" i="6"/>
  <c r="H83" i="6" s="1"/>
  <c r="E83" i="6"/>
  <c r="D83" i="6"/>
  <c r="C83" i="6"/>
  <c r="B83" i="6"/>
  <c r="A83" i="6"/>
  <c r="I83" i="6" s="1"/>
  <c r="H82" i="6"/>
  <c r="G82" i="6"/>
  <c r="F82" i="6"/>
  <c r="E82" i="6"/>
  <c r="D82" i="6"/>
  <c r="C82" i="6"/>
  <c r="B82" i="6"/>
  <c r="A82" i="6"/>
  <c r="I82" i="6" s="1"/>
  <c r="J81" i="6"/>
  <c r="G81" i="6"/>
  <c r="F81" i="6"/>
  <c r="H81" i="6" s="1"/>
  <c r="E81" i="6"/>
  <c r="D81" i="6"/>
  <c r="C81" i="6"/>
  <c r="B81" i="6"/>
  <c r="A81" i="6"/>
  <c r="I81" i="6" s="1"/>
  <c r="G80" i="6"/>
  <c r="H80" i="6" s="1"/>
  <c r="F80" i="6"/>
  <c r="E80" i="6"/>
  <c r="D80" i="6"/>
  <c r="C80" i="6"/>
  <c r="B80" i="6"/>
  <c r="A80" i="6"/>
  <c r="I80" i="6" s="1"/>
  <c r="J79" i="6"/>
  <c r="G79" i="6"/>
  <c r="F79" i="6"/>
  <c r="H79" i="6" s="1"/>
  <c r="E79" i="6"/>
  <c r="D79" i="6"/>
  <c r="C79" i="6"/>
  <c r="B79" i="6"/>
  <c r="A79" i="6"/>
  <c r="I79" i="6" s="1"/>
  <c r="J78" i="6"/>
  <c r="H78" i="6"/>
  <c r="G78" i="6"/>
  <c r="F78" i="6"/>
  <c r="E78" i="6"/>
  <c r="D78" i="6"/>
  <c r="C78" i="6"/>
  <c r="B78" i="6"/>
  <c r="A78" i="6"/>
  <c r="I78" i="6" s="1"/>
  <c r="N77" i="6"/>
  <c r="J77" i="6"/>
  <c r="G77" i="6"/>
  <c r="F77" i="6"/>
  <c r="H77" i="6" s="1"/>
  <c r="E77" i="6"/>
  <c r="D77" i="6"/>
  <c r="C77" i="6"/>
  <c r="K77" i="6" s="1"/>
  <c r="B77" i="6"/>
  <c r="A77" i="6"/>
  <c r="I77" i="6" s="1"/>
  <c r="G76" i="6"/>
  <c r="H76" i="6" s="1"/>
  <c r="F76" i="6"/>
  <c r="E76" i="6"/>
  <c r="D76" i="6"/>
  <c r="C76" i="6"/>
  <c r="K76" i="6" s="1"/>
  <c r="B76" i="6"/>
  <c r="A76" i="6"/>
  <c r="I76" i="6" s="1"/>
  <c r="J75" i="6"/>
  <c r="G75" i="6"/>
  <c r="F75" i="6"/>
  <c r="H75" i="6" s="1"/>
  <c r="E75" i="6"/>
  <c r="D75" i="6"/>
  <c r="C75" i="6"/>
  <c r="B75" i="6"/>
  <c r="A75" i="6"/>
  <c r="I75" i="6" s="1"/>
  <c r="J74" i="6"/>
  <c r="H74" i="6"/>
  <c r="G74" i="6"/>
  <c r="F74" i="6"/>
  <c r="E74" i="6"/>
  <c r="D74" i="6"/>
  <c r="C74" i="6"/>
  <c r="B74" i="6"/>
  <c r="A74" i="6"/>
  <c r="I74" i="6" s="1"/>
  <c r="J73" i="6"/>
  <c r="G73" i="6"/>
  <c r="F73" i="6"/>
  <c r="H73" i="6" s="1"/>
  <c r="E73" i="6"/>
  <c r="D73" i="6"/>
  <c r="C73" i="6"/>
  <c r="K73" i="6" s="1"/>
  <c r="B73" i="6"/>
  <c r="A73" i="6"/>
  <c r="I73" i="6" s="1"/>
  <c r="G72" i="6"/>
  <c r="H72" i="6" s="1"/>
  <c r="F72" i="6"/>
  <c r="E72" i="6"/>
  <c r="D72" i="6"/>
  <c r="C72" i="6"/>
  <c r="K72" i="6" s="1"/>
  <c r="B72" i="6"/>
  <c r="A72" i="6"/>
  <c r="I72" i="6" s="1"/>
  <c r="J71" i="6"/>
  <c r="G71" i="6"/>
  <c r="F71" i="6"/>
  <c r="H71" i="6" s="1"/>
  <c r="E71" i="6"/>
  <c r="D71" i="6"/>
  <c r="C71" i="6"/>
  <c r="B71" i="6"/>
  <c r="A71" i="6"/>
  <c r="I71" i="6" s="1"/>
  <c r="K70" i="6"/>
  <c r="H70" i="6"/>
  <c r="G70" i="6"/>
  <c r="F70" i="6"/>
  <c r="E70" i="6"/>
  <c r="D70" i="6"/>
  <c r="C70" i="6"/>
  <c r="B70" i="6"/>
  <c r="A70" i="6"/>
  <c r="I70" i="6" s="1"/>
  <c r="J69" i="6"/>
  <c r="G69" i="6"/>
  <c r="F69" i="6"/>
  <c r="H69" i="6" s="1"/>
  <c r="E69" i="6"/>
  <c r="D69" i="6"/>
  <c r="C69" i="6"/>
  <c r="K69" i="6" s="1"/>
  <c r="B69" i="6"/>
  <c r="A69" i="6"/>
  <c r="I69" i="6" s="1"/>
  <c r="I68" i="6"/>
  <c r="G68" i="6"/>
  <c r="F68" i="6"/>
  <c r="E68" i="6"/>
  <c r="D68" i="6"/>
  <c r="C68" i="6"/>
  <c r="B68" i="6"/>
  <c r="A68" i="6"/>
  <c r="G67" i="6"/>
  <c r="F67" i="6"/>
  <c r="H67" i="6" s="1"/>
  <c r="E67" i="6"/>
  <c r="D67" i="6"/>
  <c r="C67" i="6"/>
  <c r="B67" i="6"/>
  <c r="A67" i="6"/>
  <c r="I67" i="6" s="1"/>
  <c r="H66" i="6"/>
  <c r="G66" i="6"/>
  <c r="F66" i="6"/>
  <c r="E66" i="6"/>
  <c r="D66" i="6"/>
  <c r="C66" i="6"/>
  <c r="K66" i="6" s="1"/>
  <c r="B66" i="6"/>
  <c r="A66" i="6"/>
  <c r="I66" i="6" s="1"/>
  <c r="G65" i="6"/>
  <c r="F65" i="6"/>
  <c r="E65" i="6"/>
  <c r="D65" i="6"/>
  <c r="C65" i="6"/>
  <c r="B65" i="6"/>
  <c r="A65" i="6"/>
  <c r="I65" i="6" s="1"/>
  <c r="H64" i="6"/>
  <c r="G64" i="6"/>
  <c r="F64" i="6"/>
  <c r="E64" i="6"/>
  <c r="D64" i="6"/>
  <c r="C64" i="6"/>
  <c r="B64" i="6"/>
  <c r="A64" i="6"/>
  <c r="I64" i="6" s="1"/>
  <c r="G63" i="6"/>
  <c r="F63" i="6"/>
  <c r="H63" i="6" s="1"/>
  <c r="E63" i="6"/>
  <c r="D63" i="6"/>
  <c r="C63" i="6"/>
  <c r="B63" i="6"/>
  <c r="A63" i="6"/>
  <c r="I63" i="6" s="1"/>
  <c r="J62" i="6"/>
  <c r="H62" i="6"/>
  <c r="K62" i="6" s="1"/>
  <c r="G62" i="6"/>
  <c r="F62" i="6"/>
  <c r="E62" i="6"/>
  <c r="D62" i="6"/>
  <c r="C62" i="6"/>
  <c r="B62" i="6"/>
  <c r="A62" i="6"/>
  <c r="I62" i="6" s="1"/>
  <c r="J61" i="6"/>
  <c r="G61" i="6"/>
  <c r="F61" i="6"/>
  <c r="H61" i="6" s="1"/>
  <c r="E61" i="6"/>
  <c r="D61" i="6"/>
  <c r="C61" i="6"/>
  <c r="B61" i="6"/>
  <c r="A61" i="6"/>
  <c r="I61" i="6" s="1"/>
  <c r="G60" i="6"/>
  <c r="H60" i="6" s="1"/>
  <c r="F60" i="6"/>
  <c r="E60" i="6"/>
  <c r="D60" i="6"/>
  <c r="C60" i="6"/>
  <c r="B60" i="6"/>
  <c r="A60" i="6"/>
  <c r="I60" i="6" s="1"/>
  <c r="G59" i="6"/>
  <c r="H59" i="6" s="1"/>
  <c r="F59" i="6"/>
  <c r="E59" i="6"/>
  <c r="D59" i="6"/>
  <c r="C59" i="6"/>
  <c r="K59" i="6" s="1"/>
  <c r="B59" i="6"/>
  <c r="A59" i="6"/>
  <c r="I59" i="6" s="1"/>
  <c r="K58" i="6"/>
  <c r="H58" i="6"/>
  <c r="G58" i="6"/>
  <c r="F58" i="6"/>
  <c r="E58" i="6"/>
  <c r="D58" i="6"/>
  <c r="C58" i="6"/>
  <c r="B58" i="6"/>
  <c r="A58" i="6"/>
  <c r="I58" i="6" s="1"/>
  <c r="G57" i="6"/>
  <c r="F57" i="6"/>
  <c r="H57" i="6" s="1"/>
  <c r="E57" i="6"/>
  <c r="D57" i="6"/>
  <c r="C57" i="6"/>
  <c r="B57" i="6"/>
  <c r="A57" i="6"/>
  <c r="I57" i="6" s="1"/>
  <c r="N56" i="6"/>
  <c r="H56" i="6"/>
  <c r="G56" i="6"/>
  <c r="F56" i="6"/>
  <c r="E56" i="6"/>
  <c r="D56" i="6"/>
  <c r="C56" i="6"/>
  <c r="K56" i="6" s="1"/>
  <c r="B56" i="6"/>
  <c r="A56" i="6"/>
  <c r="I56" i="6" s="1"/>
  <c r="J55" i="6"/>
  <c r="G55" i="6"/>
  <c r="F55" i="6"/>
  <c r="H55" i="6" s="1"/>
  <c r="E55" i="6"/>
  <c r="D55" i="6"/>
  <c r="C55" i="6"/>
  <c r="B55" i="6"/>
  <c r="A55" i="6"/>
  <c r="I55" i="6" s="1"/>
  <c r="J54" i="6"/>
  <c r="H54" i="6"/>
  <c r="G54" i="6"/>
  <c r="F54" i="6"/>
  <c r="E54" i="6"/>
  <c r="D54" i="6"/>
  <c r="C54" i="6"/>
  <c r="B54" i="6"/>
  <c r="A54" i="6"/>
  <c r="I54" i="6" s="1"/>
  <c r="G53" i="6"/>
  <c r="F53" i="6"/>
  <c r="H53" i="6" s="1"/>
  <c r="E53" i="6"/>
  <c r="D53" i="6"/>
  <c r="C53" i="6"/>
  <c r="B53" i="6"/>
  <c r="A53" i="6"/>
  <c r="I53" i="6" s="1"/>
  <c r="G52" i="6"/>
  <c r="F52" i="6"/>
  <c r="E52" i="6"/>
  <c r="D52" i="6"/>
  <c r="C52" i="6"/>
  <c r="B52" i="6"/>
  <c r="A52" i="6"/>
  <c r="I52" i="6" s="1"/>
  <c r="J51" i="6"/>
  <c r="G51" i="6"/>
  <c r="F51" i="6"/>
  <c r="H51" i="6" s="1"/>
  <c r="E51" i="6"/>
  <c r="D51" i="6"/>
  <c r="C51" i="6"/>
  <c r="B51" i="6"/>
  <c r="A51" i="6"/>
  <c r="I51" i="6" s="1"/>
  <c r="K50" i="6"/>
  <c r="H50" i="6"/>
  <c r="G50" i="6"/>
  <c r="F50" i="6"/>
  <c r="E50" i="6"/>
  <c r="D50" i="6"/>
  <c r="C50" i="6"/>
  <c r="B50" i="6"/>
  <c r="A50" i="6"/>
  <c r="I50" i="6" s="1"/>
  <c r="K49" i="6"/>
  <c r="G49" i="6"/>
  <c r="F49" i="6"/>
  <c r="H49" i="6" s="1"/>
  <c r="J49" i="6" s="1"/>
  <c r="E49" i="6"/>
  <c r="D49" i="6"/>
  <c r="C49" i="6"/>
  <c r="B49" i="6"/>
  <c r="A49" i="6"/>
  <c r="I49" i="6" s="1"/>
  <c r="K48" i="6"/>
  <c r="G48" i="6"/>
  <c r="H48" i="6" s="1"/>
  <c r="F48" i="6"/>
  <c r="E48" i="6"/>
  <c r="D48" i="6"/>
  <c r="C48" i="6"/>
  <c r="B48" i="6"/>
  <c r="A48" i="6"/>
  <c r="I48" i="6" s="1"/>
  <c r="K47" i="6"/>
  <c r="I47" i="6"/>
  <c r="G47" i="6"/>
  <c r="F47" i="6"/>
  <c r="H47" i="6" s="1"/>
  <c r="E47" i="6"/>
  <c r="D47" i="6"/>
  <c r="C47" i="6"/>
  <c r="B47" i="6"/>
  <c r="A47" i="6"/>
  <c r="H46" i="6"/>
  <c r="K46" i="6" s="1"/>
  <c r="G46" i="6"/>
  <c r="F46" i="6"/>
  <c r="E46" i="6"/>
  <c r="D46" i="6"/>
  <c r="C46" i="6"/>
  <c r="B46" i="6"/>
  <c r="A46" i="6"/>
  <c r="I46" i="6" s="1"/>
  <c r="J45" i="6"/>
  <c r="I45" i="6"/>
  <c r="G45" i="6"/>
  <c r="F45" i="6"/>
  <c r="H45" i="6" s="1"/>
  <c r="K45" i="6" s="1"/>
  <c r="E45" i="6"/>
  <c r="D45" i="6"/>
  <c r="C45" i="6"/>
  <c r="B45" i="6"/>
  <c r="A45" i="6"/>
  <c r="G44" i="6"/>
  <c r="H44" i="6" s="1"/>
  <c r="F44" i="6"/>
  <c r="E44" i="6"/>
  <c r="D44" i="6"/>
  <c r="C44" i="6"/>
  <c r="B44" i="6"/>
  <c r="A44" i="6"/>
  <c r="I44" i="6" s="1"/>
  <c r="I43" i="6"/>
  <c r="G43" i="6"/>
  <c r="F43" i="6"/>
  <c r="E43" i="6"/>
  <c r="D43" i="6"/>
  <c r="C43" i="6"/>
  <c r="B43" i="6"/>
  <c r="A43" i="6"/>
  <c r="K42" i="6"/>
  <c r="H42" i="6"/>
  <c r="G42" i="6"/>
  <c r="F42" i="6"/>
  <c r="E42" i="6"/>
  <c r="D42" i="6"/>
  <c r="C42" i="6"/>
  <c r="B42" i="6"/>
  <c r="A42" i="6"/>
  <c r="I42" i="6" s="1"/>
  <c r="I41" i="6"/>
  <c r="G41" i="6"/>
  <c r="F41" i="6"/>
  <c r="H41" i="6" s="1"/>
  <c r="K41" i="6" s="1"/>
  <c r="E41" i="6"/>
  <c r="D41" i="6"/>
  <c r="C41" i="6"/>
  <c r="B41" i="6"/>
  <c r="A41" i="6"/>
  <c r="K40" i="6"/>
  <c r="G40" i="6"/>
  <c r="H40" i="6" s="1"/>
  <c r="F40" i="6"/>
  <c r="E40" i="6"/>
  <c r="D40" i="6"/>
  <c r="C40" i="6"/>
  <c r="B40" i="6"/>
  <c r="A40" i="6"/>
  <c r="I40" i="6" s="1"/>
  <c r="I39" i="6"/>
  <c r="G39" i="6"/>
  <c r="F39" i="6"/>
  <c r="E39" i="6"/>
  <c r="D39" i="6"/>
  <c r="C39" i="6"/>
  <c r="B39" i="6"/>
  <c r="A39" i="6"/>
  <c r="K38" i="6"/>
  <c r="H38" i="6"/>
  <c r="G38" i="6"/>
  <c r="F38" i="6"/>
  <c r="E38" i="6"/>
  <c r="D38" i="6"/>
  <c r="C38" i="6"/>
  <c r="B38" i="6"/>
  <c r="A38" i="6"/>
  <c r="I38" i="6" s="1"/>
  <c r="J37" i="6"/>
  <c r="G37" i="6"/>
  <c r="F37" i="6"/>
  <c r="H37" i="6" s="1"/>
  <c r="K37" i="6" s="1"/>
  <c r="E37" i="6"/>
  <c r="D37" i="6"/>
  <c r="C37" i="6"/>
  <c r="B37" i="6"/>
  <c r="A37" i="6"/>
  <c r="I37" i="6" s="1"/>
  <c r="G36" i="6"/>
  <c r="H36" i="6" s="1"/>
  <c r="F36" i="6"/>
  <c r="E36" i="6"/>
  <c r="D36" i="6"/>
  <c r="C36" i="6"/>
  <c r="B36" i="6"/>
  <c r="A36" i="6"/>
  <c r="I36" i="6" s="1"/>
  <c r="N35" i="6"/>
  <c r="K35" i="6"/>
  <c r="J35" i="6"/>
  <c r="I35" i="6"/>
  <c r="G35" i="6"/>
  <c r="F35" i="6"/>
  <c r="H35" i="6" s="1"/>
  <c r="E35" i="6"/>
  <c r="D35" i="6"/>
  <c r="C35" i="6"/>
  <c r="B35" i="6"/>
  <c r="A35" i="6"/>
  <c r="H34" i="6"/>
  <c r="G34" i="6"/>
  <c r="F34" i="6"/>
  <c r="E34" i="6"/>
  <c r="D34" i="6"/>
  <c r="C34" i="6"/>
  <c r="B34" i="6"/>
  <c r="A34" i="6"/>
  <c r="I34" i="6" s="1"/>
  <c r="J33" i="6"/>
  <c r="I33" i="6"/>
  <c r="G33" i="6"/>
  <c r="F33" i="6"/>
  <c r="E33" i="6"/>
  <c r="D33" i="6"/>
  <c r="C33" i="6"/>
  <c r="B33" i="6"/>
  <c r="A33" i="6"/>
  <c r="I32" i="6"/>
  <c r="G32" i="6"/>
  <c r="H32" i="6" s="1"/>
  <c r="F32" i="6"/>
  <c r="E32" i="6"/>
  <c r="D32" i="6"/>
  <c r="C32" i="6"/>
  <c r="B32" i="6"/>
  <c r="A32" i="6"/>
  <c r="I31" i="6"/>
  <c r="G31" i="6"/>
  <c r="F31" i="6"/>
  <c r="H31" i="6" s="1"/>
  <c r="K31" i="6" s="1"/>
  <c r="E31" i="6"/>
  <c r="D31" i="6"/>
  <c r="C31" i="6"/>
  <c r="B31" i="6"/>
  <c r="A31" i="6"/>
  <c r="I30" i="6"/>
  <c r="G30" i="6"/>
  <c r="H30" i="6" s="1"/>
  <c r="F30" i="6"/>
  <c r="E30" i="6"/>
  <c r="D30" i="6"/>
  <c r="C30" i="6"/>
  <c r="B30" i="6"/>
  <c r="A30" i="6"/>
  <c r="I29" i="6"/>
  <c r="G29" i="6"/>
  <c r="F29" i="6"/>
  <c r="H29" i="6" s="1"/>
  <c r="E29" i="6"/>
  <c r="D29" i="6"/>
  <c r="C29" i="6"/>
  <c r="K29" i="6" s="1"/>
  <c r="B29" i="6"/>
  <c r="A29" i="6"/>
  <c r="K28" i="6"/>
  <c r="H28" i="6"/>
  <c r="G28" i="6"/>
  <c r="F28" i="6"/>
  <c r="E28" i="6"/>
  <c r="D28" i="6"/>
  <c r="C28" i="6"/>
  <c r="B28" i="6"/>
  <c r="A28" i="6"/>
  <c r="I28" i="6" s="1"/>
  <c r="K27" i="6"/>
  <c r="J27" i="6"/>
  <c r="G27" i="6"/>
  <c r="F27" i="6"/>
  <c r="H27" i="6" s="1"/>
  <c r="E27" i="6"/>
  <c r="D27" i="6"/>
  <c r="C27" i="6"/>
  <c r="B27" i="6"/>
  <c r="A27" i="6"/>
  <c r="I27" i="6" s="1"/>
  <c r="G26" i="6"/>
  <c r="H26" i="6" s="1"/>
  <c r="F26" i="6"/>
  <c r="E26" i="6"/>
  <c r="D26" i="6"/>
  <c r="C26" i="6"/>
  <c r="B26" i="6"/>
  <c r="A26" i="6"/>
  <c r="I26" i="6" s="1"/>
  <c r="J25" i="6"/>
  <c r="I25" i="6"/>
  <c r="G25" i="6"/>
  <c r="F25" i="6"/>
  <c r="E25" i="6"/>
  <c r="D25" i="6"/>
  <c r="C25" i="6"/>
  <c r="B25" i="6"/>
  <c r="A25" i="6"/>
  <c r="G24" i="6"/>
  <c r="H24" i="6" s="1"/>
  <c r="F24" i="6"/>
  <c r="E24" i="6"/>
  <c r="D24" i="6"/>
  <c r="C24" i="6"/>
  <c r="B24" i="6"/>
  <c r="A24" i="6"/>
  <c r="I24" i="6" s="1"/>
  <c r="K23" i="6"/>
  <c r="J23" i="6"/>
  <c r="G23" i="6"/>
  <c r="F23" i="6"/>
  <c r="H23" i="6" s="1"/>
  <c r="E23" i="6"/>
  <c r="D23" i="6"/>
  <c r="C23" i="6"/>
  <c r="B23" i="6"/>
  <c r="A23" i="6"/>
  <c r="I23" i="6" s="1"/>
  <c r="H22" i="6"/>
  <c r="G22" i="6"/>
  <c r="F22" i="6"/>
  <c r="E22" i="6"/>
  <c r="D22" i="6"/>
  <c r="C22" i="6"/>
  <c r="K22" i="6" s="1"/>
  <c r="B22" i="6"/>
  <c r="A22" i="6"/>
  <c r="I22" i="6" s="1"/>
  <c r="I21" i="6"/>
  <c r="G21" i="6"/>
  <c r="F21" i="6"/>
  <c r="E21" i="6"/>
  <c r="D21" i="6"/>
  <c r="C21" i="6"/>
  <c r="N21" i="6" s="1"/>
  <c r="B21" i="6"/>
  <c r="A21" i="6"/>
  <c r="G20" i="6"/>
  <c r="H20" i="6" s="1"/>
  <c r="K20" i="6" s="1"/>
  <c r="F20" i="6"/>
  <c r="E20" i="6"/>
  <c r="D20" i="6"/>
  <c r="C20" i="6"/>
  <c r="B20" i="6"/>
  <c r="A20" i="6"/>
  <c r="I20" i="6" s="1"/>
  <c r="J19" i="6"/>
  <c r="G19" i="6"/>
  <c r="F19" i="6"/>
  <c r="H19" i="6" s="1"/>
  <c r="K19" i="6" s="1"/>
  <c r="E19" i="6"/>
  <c r="D19" i="6"/>
  <c r="C19" i="6"/>
  <c r="B19" i="6"/>
  <c r="A19" i="6"/>
  <c r="I19" i="6" s="1"/>
  <c r="H18" i="6"/>
  <c r="K18" i="6" s="1"/>
  <c r="G18" i="6"/>
  <c r="F18" i="6"/>
  <c r="E18" i="6"/>
  <c r="D18" i="6"/>
  <c r="C18" i="6"/>
  <c r="B18" i="6"/>
  <c r="A18" i="6"/>
  <c r="I18" i="6" s="1"/>
  <c r="I17" i="6"/>
  <c r="G17" i="6"/>
  <c r="F17" i="6"/>
  <c r="E17" i="6"/>
  <c r="D17" i="6"/>
  <c r="C17" i="6"/>
  <c r="B17" i="6"/>
  <c r="A17" i="6"/>
  <c r="J16" i="6"/>
  <c r="H16" i="6"/>
  <c r="G16" i="6"/>
  <c r="F16" i="6"/>
  <c r="E16" i="6"/>
  <c r="D16" i="6"/>
  <c r="C16" i="6"/>
  <c r="K16" i="6" s="1"/>
  <c r="B16" i="6"/>
  <c r="A16" i="6"/>
  <c r="I16" i="6" s="1"/>
  <c r="N15" i="6"/>
  <c r="J15" i="6"/>
  <c r="G15" i="6"/>
  <c r="F15" i="6"/>
  <c r="H15" i="6" s="1"/>
  <c r="E15" i="6"/>
  <c r="D15" i="6"/>
  <c r="C15" i="6"/>
  <c r="B15" i="6"/>
  <c r="A15" i="6"/>
  <c r="I15" i="6" s="1"/>
  <c r="H14" i="6"/>
  <c r="G14" i="6"/>
  <c r="F14" i="6"/>
  <c r="E14" i="6"/>
  <c r="D14" i="6"/>
  <c r="C14" i="6"/>
  <c r="N14" i="6" s="1"/>
  <c r="B14" i="6"/>
  <c r="A14" i="6"/>
  <c r="I14" i="6" s="1"/>
  <c r="J13" i="6"/>
  <c r="G13" i="6"/>
  <c r="F13" i="6"/>
  <c r="H13" i="6" s="1"/>
  <c r="E13" i="6"/>
  <c r="D13" i="6"/>
  <c r="C13" i="6"/>
  <c r="N13" i="6" s="1"/>
  <c r="B13" i="6"/>
  <c r="A13" i="6"/>
  <c r="I13" i="6" s="1"/>
  <c r="J12" i="6"/>
  <c r="H12" i="6"/>
  <c r="G12" i="6"/>
  <c r="F12" i="6"/>
  <c r="E12" i="6"/>
  <c r="D12" i="6"/>
  <c r="C12" i="6"/>
  <c r="K12" i="6" s="1"/>
  <c r="B12" i="6"/>
  <c r="A12" i="6"/>
  <c r="I12" i="6" s="1"/>
  <c r="N11" i="6"/>
  <c r="J11" i="6"/>
  <c r="G11" i="6"/>
  <c r="F11" i="6"/>
  <c r="H11" i="6" s="1"/>
  <c r="E11" i="6"/>
  <c r="D11" i="6"/>
  <c r="C11" i="6"/>
  <c r="B11" i="6"/>
  <c r="A11" i="6"/>
  <c r="I11" i="6" s="1"/>
  <c r="I10" i="6"/>
  <c r="H10" i="6"/>
  <c r="G10" i="6"/>
  <c r="F10" i="6"/>
  <c r="E10" i="6"/>
  <c r="D10" i="6"/>
  <c r="C10" i="6"/>
  <c r="N10" i="6" s="1"/>
  <c r="B10" i="6"/>
  <c r="A10" i="6"/>
  <c r="J9" i="6"/>
  <c r="G9" i="6"/>
  <c r="F9" i="6"/>
  <c r="H9" i="6" s="1"/>
  <c r="E9" i="6"/>
  <c r="D9" i="6"/>
  <c r="C9" i="6"/>
  <c r="N9" i="6" s="1"/>
  <c r="B9" i="6"/>
  <c r="A9" i="6"/>
  <c r="I9" i="6" s="1"/>
  <c r="J8" i="6"/>
  <c r="H8" i="6"/>
  <c r="G8" i="6"/>
  <c r="F8" i="6"/>
  <c r="E8" i="6"/>
  <c r="D8" i="6"/>
  <c r="C8" i="6"/>
  <c r="K8" i="6" s="1"/>
  <c r="B8" i="6"/>
  <c r="A8" i="6"/>
  <c r="I8" i="6" s="1"/>
  <c r="N7" i="6"/>
  <c r="G7" i="6"/>
  <c r="F7" i="6"/>
  <c r="H7" i="6" s="1"/>
  <c r="J7" i="6" s="1"/>
  <c r="E7" i="6"/>
  <c r="D7" i="6"/>
  <c r="C7" i="6"/>
  <c r="B7" i="6"/>
  <c r="A7" i="6"/>
  <c r="I7" i="6" s="1"/>
  <c r="H6" i="6"/>
  <c r="G6" i="6"/>
  <c r="F6" i="6"/>
  <c r="E6" i="6"/>
  <c r="D6" i="6"/>
  <c r="C6" i="6"/>
  <c r="N6" i="6" s="1"/>
  <c r="B6" i="6"/>
  <c r="A6" i="6"/>
  <c r="I6" i="6" s="1"/>
  <c r="J5" i="6"/>
  <c r="G5" i="6"/>
  <c r="F5" i="6"/>
  <c r="H5" i="6" s="1"/>
  <c r="E5" i="6"/>
  <c r="D5" i="6"/>
  <c r="C5" i="6"/>
  <c r="N155" i="6" s="1"/>
  <c r="B5" i="6"/>
  <c r="A5" i="6"/>
  <c r="I5" i="6" s="1"/>
  <c r="J4" i="6"/>
  <c r="H4" i="6"/>
  <c r="G4" i="6"/>
  <c r="F4" i="6"/>
  <c r="E4" i="6"/>
  <c r="D4" i="6"/>
  <c r="C4" i="6"/>
  <c r="K4" i="6" s="1"/>
  <c r="B4" i="6"/>
  <c r="A4" i="6"/>
  <c r="I4" i="6" s="1"/>
  <c r="N3" i="6"/>
  <c r="J3" i="6"/>
  <c r="G3" i="6"/>
  <c r="F3" i="6"/>
  <c r="H3" i="6" s="1"/>
  <c r="E3" i="6"/>
  <c r="D3" i="6"/>
  <c r="C3" i="6"/>
  <c r="B3" i="6"/>
  <c r="A3" i="6"/>
  <c r="I3" i="6" s="1"/>
  <c r="H2" i="6"/>
  <c r="G2" i="6"/>
  <c r="F2" i="6"/>
  <c r="E2" i="6"/>
  <c r="D2" i="6"/>
  <c r="C2" i="6"/>
  <c r="N274" i="6" s="1"/>
  <c r="B2" i="6"/>
  <c r="A2" i="6"/>
  <c r="I2" i="6" s="1"/>
  <c r="B16" i="5"/>
  <c r="D16" i="5" s="1"/>
  <c r="B15" i="5"/>
  <c r="D15" i="5" s="1"/>
  <c r="D14" i="5"/>
  <c r="B14" i="5"/>
  <c r="B13" i="5"/>
  <c r="D13" i="5" s="1"/>
  <c r="B12" i="5"/>
  <c r="D12" i="5" s="1"/>
  <c r="B11" i="5"/>
  <c r="D11" i="5" s="1"/>
  <c r="B9" i="5"/>
  <c r="D9" i="5" s="1"/>
  <c r="B8" i="5"/>
  <c r="D8" i="5" s="1"/>
  <c r="B7" i="5"/>
  <c r="D7" i="5" s="1"/>
  <c r="B6" i="5"/>
  <c r="D6" i="5" s="1"/>
  <c r="B5" i="5"/>
  <c r="D5" i="5" s="1"/>
  <c r="B4" i="5"/>
  <c r="D4" i="5" s="1"/>
  <c r="C23" i="2"/>
  <c r="G66" i="1"/>
  <c r="E66" i="1"/>
  <c r="B66" i="1"/>
  <c r="G65" i="1"/>
  <c r="E65" i="1"/>
  <c r="B65" i="1"/>
  <c r="G64" i="1"/>
  <c r="E64" i="1"/>
  <c r="B64" i="1"/>
  <c r="G63" i="1"/>
  <c r="E63" i="1"/>
  <c r="B63" i="1"/>
  <c r="G62" i="1"/>
  <c r="E62" i="1"/>
  <c r="B62" i="1"/>
  <c r="L6" i="1"/>
  <c r="D48" i="13" s="1"/>
  <c r="P5" i="8" l="1"/>
  <c r="N5" i="8"/>
  <c r="F5" i="8"/>
  <c r="C5" i="8"/>
  <c r="K5" i="8"/>
  <c r="B18" i="5"/>
  <c r="B10" i="5"/>
  <c r="D10" i="5" s="1"/>
  <c r="D54" i="13" s="1"/>
  <c r="E54" i="13" s="1"/>
  <c r="G54" i="13" s="1"/>
  <c r="J2" i="6"/>
  <c r="N4" i="6"/>
  <c r="J6" i="6"/>
  <c r="N8" i="6"/>
  <c r="J10" i="6"/>
  <c r="N12" i="6"/>
  <c r="J14" i="6"/>
  <c r="N16" i="6"/>
  <c r="J21" i="6"/>
  <c r="H25" i="6"/>
  <c r="K25" i="6" s="1"/>
  <c r="N27" i="6"/>
  <c r="J29" i="6"/>
  <c r="N38" i="6"/>
  <c r="J38" i="6"/>
  <c r="H39" i="6"/>
  <c r="K39" i="6" s="1"/>
  <c r="J40" i="6"/>
  <c r="N40" i="6"/>
  <c r="H43" i="6"/>
  <c r="K43" i="6" s="1"/>
  <c r="J44" i="6"/>
  <c r="N44" i="6"/>
  <c r="K53" i="6"/>
  <c r="N61" i="6"/>
  <c r="N71" i="6"/>
  <c r="N79" i="6"/>
  <c r="N106" i="6"/>
  <c r="J106" i="6"/>
  <c r="N113" i="6"/>
  <c r="H155" i="6"/>
  <c r="N82" i="6"/>
  <c r="J82" i="6"/>
  <c r="N65" i="6"/>
  <c r="K117" i="6"/>
  <c r="J117" i="6"/>
  <c r="N117" i="6"/>
  <c r="N223" i="6"/>
  <c r="N248" i="6"/>
  <c r="K248" i="6"/>
  <c r="J248" i="6"/>
  <c r="K260" i="6"/>
  <c r="B10" i="7"/>
  <c r="B9" i="7"/>
  <c r="P17" i="8"/>
  <c r="N344" i="6"/>
  <c r="N348" i="6"/>
  <c r="N353" i="6"/>
  <c r="N360" i="6"/>
  <c r="N337" i="6"/>
  <c r="N334" i="6"/>
  <c r="N327" i="6"/>
  <c r="N355" i="6"/>
  <c r="N349" i="6"/>
  <c r="N331" i="6"/>
  <c r="N363" i="6"/>
  <c r="N323" i="6"/>
  <c r="N319" i="6"/>
  <c r="N281" i="6"/>
  <c r="N352" i="6"/>
  <c r="N359" i="6"/>
  <c r="N356" i="6"/>
  <c r="N346" i="6"/>
  <c r="N325" i="6"/>
  <c r="N311" i="6"/>
  <c r="N260" i="6"/>
  <c r="N256" i="6"/>
  <c r="N247" i="6"/>
  <c r="N309" i="6"/>
  <c r="N286" i="6"/>
  <c r="N239" i="6"/>
  <c r="N267" i="6"/>
  <c r="N235" i="6"/>
  <c r="N270" i="6"/>
  <c r="N264" i="6"/>
  <c r="N262" i="6"/>
  <c r="N227" i="6"/>
  <c r="N213" i="6"/>
  <c r="N180" i="6"/>
  <c r="N179" i="6"/>
  <c r="N340" i="6"/>
  <c r="N293" i="6"/>
  <c r="N289" i="6"/>
  <c r="N242" i="6"/>
  <c r="N191" i="6"/>
  <c r="N243" i="6"/>
  <c r="N193" i="6"/>
  <c r="N250" i="6"/>
  <c r="N232" i="6"/>
  <c r="N211" i="6"/>
  <c r="N195" i="6"/>
  <c r="N291" i="6"/>
  <c r="N254" i="6"/>
  <c r="N207" i="6"/>
  <c r="N183" i="6"/>
  <c r="N148" i="6"/>
  <c r="N219" i="6"/>
  <c r="N160" i="6"/>
  <c r="N333" i="6"/>
  <c r="N237" i="6"/>
  <c r="N209" i="6"/>
  <c r="N307" i="6"/>
  <c r="N263" i="6"/>
  <c r="N255" i="6"/>
  <c r="N225" i="6"/>
  <c r="N68" i="6"/>
  <c r="N297" i="6"/>
  <c r="N244" i="6"/>
  <c r="N215" i="6"/>
  <c r="N93" i="6"/>
  <c r="N89" i="6"/>
  <c r="N85" i="6"/>
  <c r="N81" i="6"/>
  <c r="N73" i="6"/>
  <c r="N69" i="6"/>
  <c r="N271" i="6"/>
  <c r="N233" i="6"/>
  <c r="N127" i="6"/>
  <c r="N60" i="6"/>
  <c r="N116" i="6"/>
  <c r="N115" i="6"/>
  <c r="N111" i="6"/>
  <c r="N107" i="6"/>
  <c r="N103" i="6"/>
  <c r="N52" i="6"/>
  <c r="N251" i="6"/>
  <c r="N177" i="6"/>
  <c r="N100" i="6"/>
  <c r="N76" i="6"/>
  <c r="N152" i="6"/>
  <c r="N108" i="6"/>
  <c r="N88" i="6"/>
  <c r="N64" i="6"/>
  <c r="N303" i="6"/>
  <c r="N258" i="6"/>
  <c r="N165" i="6"/>
  <c r="N157" i="6"/>
  <c r="N75" i="6"/>
  <c r="N72" i="6"/>
  <c r="N55" i="6"/>
  <c r="N200" i="6"/>
  <c r="N199" i="6"/>
  <c r="N144" i="6"/>
  <c r="N96" i="6"/>
  <c r="N87" i="6"/>
  <c r="K2" i="6"/>
  <c r="K6" i="6"/>
  <c r="K10" i="6"/>
  <c r="K14" i="6"/>
  <c r="H17" i="6"/>
  <c r="K21" i="6"/>
  <c r="N22" i="6"/>
  <c r="J22" i="6"/>
  <c r="N23" i="6"/>
  <c r="J32" i="6"/>
  <c r="N32" i="6"/>
  <c r="K32" i="6"/>
  <c r="H33" i="6"/>
  <c r="K33" i="6" s="1"/>
  <c r="J48" i="6"/>
  <c r="N48" i="6"/>
  <c r="J65" i="6"/>
  <c r="H68" i="6"/>
  <c r="J86" i="6"/>
  <c r="N109" i="6"/>
  <c r="N121" i="6"/>
  <c r="J121" i="6"/>
  <c r="N122" i="6"/>
  <c r="N128" i="6"/>
  <c r="N131" i="6"/>
  <c r="N138" i="6"/>
  <c r="J138" i="6"/>
  <c r="H157" i="6"/>
  <c r="K157" i="6" s="1"/>
  <c r="N171" i="6"/>
  <c r="J63" i="6"/>
  <c r="N119" i="6"/>
  <c r="N135" i="6"/>
  <c r="J135" i="6"/>
  <c r="K141" i="6"/>
  <c r="J141" i="6"/>
  <c r="N141" i="6"/>
  <c r="K13" i="6"/>
  <c r="J24" i="6"/>
  <c r="N24" i="6"/>
  <c r="K24" i="6"/>
  <c r="N50" i="6"/>
  <c r="N92" i="6"/>
  <c r="B8" i="7"/>
  <c r="N5" i="6"/>
  <c r="N99" i="6"/>
  <c r="N172" i="6"/>
  <c r="N184" i="6"/>
  <c r="K3" i="6"/>
  <c r="K7" i="6"/>
  <c r="K11" i="6"/>
  <c r="K15" i="6"/>
  <c r="J20" i="6"/>
  <c r="N20" i="6"/>
  <c r="N26" i="6"/>
  <c r="J26" i="6"/>
  <c r="K26" i="6"/>
  <c r="N29" i="6"/>
  <c r="N37" i="6"/>
  <c r="N51" i="6"/>
  <c r="K51" i="6"/>
  <c r="N58" i="6"/>
  <c r="J58" i="6"/>
  <c r="K63" i="6"/>
  <c r="N74" i="6"/>
  <c r="K74" i="6"/>
  <c r="J105" i="6"/>
  <c r="N125" i="6"/>
  <c r="N162" i="6"/>
  <c r="K162" i="6"/>
  <c r="J162" i="6"/>
  <c r="N33" i="6"/>
  <c r="J36" i="6"/>
  <c r="N36" i="6"/>
  <c r="N83" i="6"/>
  <c r="N118" i="6"/>
  <c r="K118" i="6"/>
  <c r="J118" i="6"/>
  <c r="K5" i="6"/>
  <c r="K9" i="6"/>
  <c r="N17" i="6"/>
  <c r="N30" i="6"/>
  <c r="J30" i="6"/>
  <c r="N53" i="6"/>
  <c r="N80" i="6"/>
  <c r="N86" i="6"/>
  <c r="N104" i="6"/>
  <c r="N124" i="6"/>
  <c r="N154" i="6"/>
  <c r="J154" i="6"/>
  <c r="K154" i="6"/>
  <c r="N156" i="6"/>
  <c r="N187" i="6"/>
  <c r="N205" i="6"/>
  <c r="N2" i="6"/>
  <c r="N34" i="6"/>
  <c r="J34" i="6"/>
  <c r="K34" i="6"/>
  <c r="N41" i="6"/>
  <c r="J41" i="6"/>
  <c r="N143" i="6"/>
  <c r="B17" i="7"/>
  <c r="N70" i="6"/>
  <c r="N97" i="6"/>
  <c r="B5" i="7"/>
  <c r="J17" i="6"/>
  <c r="J31" i="6"/>
  <c r="N31" i="6"/>
  <c r="K57" i="6"/>
  <c r="N63" i="6"/>
  <c r="N67" i="6"/>
  <c r="K67" i="6"/>
  <c r="J67" i="6"/>
  <c r="K82" i="6"/>
  <c r="N95" i="6"/>
  <c r="N101" i="6"/>
  <c r="J119" i="6"/>
  <c r="N130" i="6"/>
  <c r="J130" i="6"/>
  <c r="K130" i="6"/>
  <c r="K131" i="6"/>
  <c r="J131" i="6"/>
  <c r="K135" i="6"/>
  <c r="B6" i="7"/>
  <c r="K17" i="6"/>
  <c r="N18" i="6"/>
  <c r="J18" i="6"/>
  <c r="N19" i="6"/>
  <c r="H21" i="6"/>
  <c r="M5" i="8" s="1"/>
  <c r="N25" i="6"/>
  <c r="J28" i="6"/>
  <c r="N28" i="6"/>
  <c r="K30" i="6"/>
  <c r="K36" i="6"/>
  <c r="K44" i="6"/>
  <c r="J47" i="6"/>
  <c r="N47" i="6"/>
  <c r="J50" i="6"/>
  <c r="K52" i="6"/>
  <c r="J53" i="6"/>
  <c r="K61" i="6"/>
  <c r="J70" i="6"/>
  <c r="K113" i="6"/>
  <c r="K119" i="6"/>
  <c r="N142" i="6"/>
  <c r="K142" i="6"/>
  <c r="N173" i="6"/>
  <c r="N202" i="6"/>
  <c r="J202" i="6"/>
  <c r="K202" i="6"/>
  <c r="J208" i="6"/>
  <c r="N208" i="6"/>
  <c r="K234" i="6"/>
  <c r="J43" i="6"/>
  <c r="N43" i="6"/>
  <c r="N46" i="6"/>
  <c r="J46" i="6"/>
  <c r="N49" i="6"/>
  <c r="H52" i="6"/>
  <c r="K60" i="6"/>
  <c r="N62" i="6"/>
  <c r="N90" i="6"/>
  <c r="K90" i="6"/>
  <c r="N110" i="6"/>
  <c r="J110" i="6"/>
  <c r="J132" i="6"/>
  <c r="N132" i="6"/>
  <c r="K143" i="6"/>
  <c r="J143" i="6"/>
  <c r="N151" i="6"/>
  <c r="J151" i="6"/>
  <c r="J164" i="6"/>
  <c r="N164" i="6"/>
  <c r="K164" i="6"/>
  <c r="H176" i="6"/>
  <c r="N186" i="6"/>
  <c r="J186" i="6"/>
  <c r="K186" i="6"/>
  <c r="J203" i="6"/>
  <c r="N66" i="6"/>
  <c r="J66" i="6"/>
  <c r="K80" i="6"/>
  <c r="K93" i="6"/>
  <c r="K96" i="6"/>
  <c r="N102" i="6"/>
  <c r="J102" i="6"/>
  <c r="K109" i="6"/>
  <c r="K116" i="6"/>
  <c r="J134" i="6"/>
  <c r="J137" i="6"/>
  <c r="K155" i="6"/>
  <c r="J172" i="6"/>
  <c r="K172" i="6"/>
  <c r="J188" i="6"/>
  <c r="K188" i="6"/>
  <c r="N188" i="6"/>
  <c r="J216" i="6"/>
  <c r="N216" i="6"/>
  <c r="K216" i="6"/>
  <c r="J39" i="6"/>
  <c r="N39" i="6"/>
  <c r="N42" i="6"/>
  <c r="J42" i="6"/>
  <c r="N45" i="6"/>
  <c r="K64" i="6"/>
  <c r="N78" i="6"/>
  <c r="K78" i="6"/>
  <c r="N94" i="6"/>
  <c r="K94" i="6"/>
  <c r="K101" i="6"/>
  <c r="K133" i="6"/>
  <c r="J133" i="6"/>
  <c r="H159" i="6"/>
  <c r="N169" i="6"/>
  <c r="J169" i="6"/>
  <c r="K169" i="6"/>
  <c r="N236" i="6"/>
  <c r="N57" i="6"/>
  <c r="J57" i="6"/>
  <c r="N59" i="6"/>
  <c r="J59" i="6"/>
  <c r="K81" i="6"/>
  <c r="K100" i="6"/>
  <c r="K108" i="6"/>
  <c r="N114" i="6"/>
  <c r="J114" i="6"/>
  <c r="N134" i="6"/>
  <c r="K134" i="6"/>
  <c r="N137" i="6"/>
  <c r="K137" i="6"/>
  <c r="K145" i="6"/>
  <c r="J145" i="6"/>
  <c r="N145" i="6"/>
  <c r="N149" i="6"/>
  <c r="N226" i="6"/>
  <c r="J226" i="6"/>
  <c r="K226" i="6"/>
  <c r="N241" i="6"/>
  <c r="K241" i="6"/>
  <c r="J241" i="6"/>
  <c r="K268" i="6"/>
  <c r="N268" i="6"/>
  <c r="J268" i="6"/>
  <c r="N302" i="6"/>
  <c r="J302" i="6"/>
  <c r="K302" i="6"/>
  <c r="H65" i="6"/>
  <c r="K65" i="6" s="1"/>
  <c r="J97" i="6"/>
  <c r="K98" i="6"/>
  <c r="J128" i="6"/>
  <c r="K128" i="6"/>
  <c r="J196" i="6"/>
  <c r="N196" i="6"/>
  <c r="K196" i="6"/>
  <c r="K223" i="6"/>
  <c r="K144" i="6"/>
  <c r="N153" i="6"/>
  <c r="N176" i="6"/>
  <c r="N181" i="6"/>
  <c r="K181" i="6"/>
  <c r="J181" i="6"/>
  <c r="K205" i="6"/>
  <c r="J205" i="6"/>
  <c r="N214" i="6"/>
  <c r="J214" i="6"/>
  <c r="K214" i="6"/>
  <c r="K68" i="6"/>
  <c r="N139" i="6"/>
  <c r="K139" i="6"/>
  <c r="J155" i="6"/>
  <c r="N194" i="6"/>
  <c r="K194" i="6"/>
  <c r="J231" i="6"/>
  <c r="N54" i="6"/>
  <c r="K54" i="6"/>
  <c r="K55" i="6"/>
  <c r="J120" i="6"/>
  <c r="N120" i="6"/>
  <c r="K129" i="6"/>
  <c r="J129" i="6"/>
  <c r="N129" i="6"/>
  <c r="J136" i="6"/>
  <c r="N136" i="6"/>
  <c r="H149" i="6"/>
  <c r="N150" i="6"/>
  <c r="K150" i="6"/>
  <c r="N161" i="6"/>
  <c r="N166" i="6"/>
  <c r="J168" i="6"/>
  <c r="N168" i="6"/>
  <c r="H180" i="6"/>
  <c r="N229" i="6"/>
  <c r="J290" i="6"/>
  <c r="K290" i="6"/>
  <c r="N290" i="6"/>
  <c r="N339" i="6"/>
  <c r="K71" i="6"/>
  <c r="K75" i="6"/>
  <c r="K79" i="6"/>
  <c r="K83" i="6"/>
  <c r="K87" i="6"/>
  <c r="K91" i="6"/>
  <c r="K95" i="6"/>
  <c r="K99" i="6"/>
  <c r="K103" i="6"/>
  <c r="K107" i="6"/>
  <c r="K111" i="6"/>
  <c r="K115" i="6"/>
  <c r="K123" i="6"/>
  <c r="N158" i="6"/>
  <c r="K158" i="6"/>
  <c r="K159" i="6"/>
  <c r="K160" i="6"/>
  <c r="N170" i="6"/>
  <c r="J170" i="6"/>
  <c r="K197" i="6"/>
  <c r="J197" i="6"/>
  <c r="N197" i="6"/>
  <c r="N201" i="6"/>
  <c r="N221" i="6"/>
  <c r="K221" i="6"/>
  <c r="N276" i="6"/>
  <c r="J276" i="6"/>
  <c r="K276" i="6"/>
  <c r="J52" i="6"/>
  <c r="J56" i="6"/>
  <c r="J60" i="6"/>
  <c r="J64" i="6"/>
  <c r="J68" i="6"/>
  <c r="J72" i="6"/>
  <c r="J76" i="6"/>
  <c r="J80" i="6"/>
  <c r="J84" i="6"/>
  <c r="J88" i="6"/>
  <c r="J92" i="6"/>
  <c r="J104" i="6"/>
  <c r="J108" i="6"/>
  <c r="K126" i="6"/>
  <c r="N146" i="6"/>
  <c r="K146" i="6"/>
  <c r="K147" i="6"/>
  <c r="K148" i="6"/>
  <c r="N159" i="6"/>
  <c r="N167" i="6"/>
  <c r="J167" i="6"/>
  <c r="H175" i="6"/>
  <c r="J185" i="6"/>
  <c r="N185" i="6"/>
  <c r="K204" i="6"/>
  <c r="K209" i="6"/>
  <c r="N230" i="6"/>
  <c r="J230" i="6"/>
  <c r="K230" i="6"/>
  <c r="H121" i="6"/>
  <c r="N123" i="6"/>
  <c r="K127" i="6"/>
  <c r="H137" i="6"/>
  <c r="H161" i="6"/>
  <c r="J161" i="6" s="1"/>
  <c r="N163" i="6"/>
  <c r="N174" i="6"/>
  <c r="J176" i="6"/>
  <c r="K176" i="6"/>
  <c r="K195" i="6"/>
  <c r="J212" i="6"/>
  <c r="N212" i="6"/>
  <c r="K212" i="6"/>
  <c r="K219" i="6"/>
  <c r="N222" i="6"/>
  <c r="J222" i="6"/>
  <c r="K240" i="6"/>
  <c r="J259" i="6"/>
  <c r="N278" i="6"/>
  <c r="K166" i="6"/>
  <c r="K182" i="6"/>
  <c r="K183" i="6"/>
  <c r="K192" i="6"/>
  <c r="J201" i="6"/>
  <c r="J204" i="6"/>
  <c r="N204" i="6"/>
  <c r="N218" i="6"/>
  <c r="J218" i="6"/>
  <c r="H223" i="6"/>
  <c r="K235" i="6"/>
  <c r="N246" i="6"/>
  <c r="N265" i="6"/>
  <c r="J265" i="6"/>
  <c r="N269" i="6"/>
  <c r="N277" i="6"/>
  <c r="K277" i="6"/>
  <c r="K291" i="6"/>
  <c r="J291" i="6"/>
  <c r="K295" i="6"/>
  <c r="J295" i="6"/>
  <c r="N295" i="6"/>
  <c r="N314" i="6"/>
  <c r="J314" i="6"/>
  <c r="K314" i="6"/>
  <c r="N190" i="6"/>
  <c r="K190" i="6"/>
  <c r="K191" i="6"/>
  <c r="N210" i="6"/>
  <c r="J210" i="6"/>
  <c r="J228" i="6"/>
  <c r="N228" i="6"/>
  <c r="N240" i="6"/>
  <c r="J240" i="6"/>
  <c r="N252" i="6"/>
  <c r="K252" i="6"/>
  <c r="J278" i="6"/>
  <c r="K278" i="6"/>
  <c r="J140" i="6"/>
  <c r="J144" i="6"/>
  <c r="J148" i="6"/>
  <c r="J152" i="6"/>
  <c r="J156" i="6"/>
  <c r="J160" i="6"/>
  <c r="H165" i="6"/>
  <c r="K177" i="6"/>
  <c r="N178" i="6"/>
  <c r="K178" i="6"/>
  <c r="K179" i="6"/>
  <c r="N192" i="6"/>
  <c r="N206" i="6"/>
  <c r="J206" i="6"/>
  <c r="H211" i="6"/>
  <c r="N217" i="6"/>
  <c r="J224" i="6"/>
  <c r="N224" i="6"/>
  <c r="N234" i="6"/>
  <c r="H235" i="6"/>
  <c r="K239" i="6"/>
  <c r="N245" i="6"/>
  <c r="N279" i="6"/>
  <c r="N292" i="6"/>
  <c r="J292" i="6"/>
  <c r="K312" i="6"/>
  <c r="K321" i="6"/>
  <c r="J321" i="6"/>
  <c r="N321" i="6"/>
  <c r="N198" i="6"/>
  <c r="K198" i="6"/>
  <c r="K199" i="6"/>
  <c r="H207" i="6"/>
  <c r="J220" i="6"/>
  <c r="N220" i="6"/>
  <c r="K227" i="6"/>
  <c r="K242" i="6"/>
  <c r="N249" i="6"/>
  <c r="N253" i="6"/>
  <c r="K253" i="6"/>
  <c r="H254" i="6"/>
  <c r="H263" i="6"/>
  <c r="J300" i="6"/>
  <c r="N300" i="6"/>
  <c r="N305" i="6"/>
  <c r="J305" i="6"/>
  <c r="K305" i="6"/>
  <c r="N257" i="6"/>
  <c r="K257" i="6"/>
  <c r="N261" i="6"/>
  <c r="K261" i="6"/>
  <c r="J274" i="6"/>
  <c r="K274" i="6"/>
  <c r="N283" i="6"/>
  <c r="H286" i="6"/>
  <c r="K286" i="6" s="1"/>
  <c r="H299" i="6"/>
  <c r="K299" i="6" s="1"/>
  <c r="N324" i="6"/>
  <c r="J324" i="6"/>
  <c r="K341" i="6"/>
  <c r="N365" i="6"/>
  <c r="J365" i="6"/>
  <c r="K365" i="6"/>
  <c r="N317" i="6"/>
  <c r="J317" i="6"/>
  <c r="N335" i="6"/>
  <c r="J335" i="6"/>
  <c r="K335" i="6"/>
  <c r="J354" i="6"/>
  <c r="N354" i="6"/>
  <c r="K354" i="6"/>
  <c r="K232" i="6"/>
  <c r="J233" i="6"/>
  <c r="J275" i="6"/>
  <c r="N275" i="6"/>
  <c r="N280" i="6"/>
  <c r="N294" i="6"/>
  <c r="J294" i="6"/>
  <c r="K294" i="6"/>
  <c r="H315" i="6"/>
  <c r="J315" i="6" s="1"/>
  <c r="K243" i="6"/>
  <c r="K251" i="6"/>
  <c r="J282" i="6"/>
  <c r="N282" i="6"/>
  <c r="K282" i="6"/>
  <c r="N284" i="6"/>
  <c r="J284" i="6"/>
  <c r="N313" i="6"/>
  <c r="K313" i="6"/>
  <c r="K342" i="6"/>
  <c r="J364" i="6"/>
  <c r="H275" i="6"/>
  <c r="K281" i="6"/>
  <c r="H291" i="6"/>
  <c r="K297" i="6"/>
  <c r="J297" i="6"/>
  <c r="N328" i="6"/>
  <c r="J328" i="6"/>
  <c r="J333" i="6"/>
  <c r="N345" i="6"/>
  <c r="K345" i="6"/>
  <c r="J345" i="6"/>
  <c r="J366" i="6"/>
  <c r="N366" i="6"/>
  <c r="J318" i="6"/>
  <c r="N318" i="6"/>
  <c r="K318" i="6"/>
  <c r="N329" i="6"/>
  <c r="N341" i="6"/>
  <c r="J341" i="6"/>
  <c r="J351" i="6"/>
  <c r="N351" i="6"/>
  <c r="K351" i="6"/>
  <c r="K250" i="6"/>
  <c r="K254" i="6"/>
  <c r="K258" i="6"/>
  <c r="K262" i="6"/>
  <c r="K266" i="6"/>
  <c r="K270" i="6"/>
  <c r="K285" i="6"/>
  <c r="N306" i="6"/>
  <c r="J306" i="6"/>
  <c r="K334" i="6"/>
  <c r="N338" i="6"/>
  <c r="J338" i="6"/>
  <c r="N272" i="6"/>
  <c r="K272" i="6"/>
  <c r="N288" i="6"/>
  <c r="K288" i="6"/>
  <c r="J296" i="6"/>
  <c r="N296" i="6"/>
  <c r="J304" i="6"/>
  <c r="N304" i="6"/>
  <c r="K304" i="6"/>
  <c r="J326" i="6"/>
  <c r="N326" i="6"/>
  <c r="K339" i="6"/>
  <c r="J357" i="6"/>
  <c r="N357" i="6"/>
  <c r="N362" i="6"/>
  <c r="K273" i="6"/>
  <c r="H283" i="6"/>
  <c r="K283" i="6" s="1"/>
  <c r="N285" i="6"/>
  <c r="K289" i="6"/>
  <c r="N310" i="6"/>
  <c r="J310" i="6"/>
  <c r="H311" i="6"/>
  <c r="N316" i="6"/>
  <c r="J316" i="6"/>
  <c r="J330" i="6"/>
  <c r="N330" i="6"/>
  <c r="K330" i="6"/>
  <c r="N342" i="6"/>
  <c r="J350" i="6"/>
  <c r="N361" i="6"/>
  <c r="K361" i="6"/>
  <c r="J361" i="6"/>
  <c r="J312" i="6"/>
  <c r="N312" i="6"/>
  <c r="J322" i="6"/>
  <c r="N322" i="6"/>
  <c r="N332" i="6"/>
  <c r="J332" i="6"/>
  <c r="K337" i="6"/>
  <c r="K344" i="6"/>
  <c r="K360" i="6"/>
  <c r="K363" i="6"/>
  <c r="J363" i="6"/>
  <c r="H293" i="6"/>
  <c r="K293" i="6" s="1"/>
  <c r="N298" i="6"/>
  <c r="J298" i="6"/>
  <c r="N299" i="6"/>
  <c r="H301" i="6"/>
  <c r="J301" i="6" s="1"/>
  <c r="J308" i="6"/>
  <c r="N308" i="6"/>
  <c r="H319" i="6"/>
  <c r="N320" i="6"/>
  <c r="J320" i="6"/>
  <c r="N347" i="6"/>
  <c r="K347" i="6"/>
  <c r="H349" i="6"/>
  <c r="K349" i="6" s="1"/>
  <c r="K353" i="6"/>
  <c r="N358" i="6"/>
  <c r="H352" i="6"/>
  <c r="K356" i="6"/>
  <c r="K303" i="6"/>
  <c r="K307" i="6"/>
  <c r="K311" i="6"/>
  <c r="K315" i="6"/>
  <c r="K319" i="6"/>
  <c r="K323" i="6"/>
  <c r="K327" i="6"/>
  <c r="K331" i="6"/>
  <c r="K346" i="6"/>
  <c r="K352" i="6"/>
  <c r="K340" i="6"/>
  <c r="G5" i="8"/>
  <c r="O5" i="8"/>
  <c r="E23" i="12"/>
  <c r="C42" i="13"/>
  <c r="C48" i="13"/>
  <c r="E48" i="13" s="1"/>
  <c r="G48" i="13" s="1"/>
  <c r="J5" i="8"/>
  <c r="B6" i="8"/>
  <c r="E21" i="12"/>
  <c r="D5" i="8"/>
  <c r="E19" i="12"/>
  <c r="E5" i="8"/>
  <c r="E22" i="12"/>
  <c r="L275" i="6" l="1"/>
  <c r="M275" i="6" s="1"/>
  <c r="K149" i="6"/>
  <c r="R313" i="6"/>
  <c r="T312" i="6"/>
  <c r="R309" i="6"/>
  <c r="T308" i="6"/>
  <c r="R305" i="6"/>
  <c r="T304" i="6"/>
  <c r="R301" i="6"/>
  <c r="T300" i="6"/>
  <c r="R297" i="6"/>
  <c r="T296" i="6"/>
  <c r="R293" i="6"/>
  <c r="T292" i="6"/>
  <c r="Q313" i="6"/>
  <c r="S312" i="6"/>
  <c r="Q309" i="6"/>
  <c r="S308" i="6"/>
  <c r="Q305" i="6"/>
  <c r="S304" i="6"/>
  <c r="T314" i="6"/>
  <c r="R311" i="6"/>
  <c r="T310" i="6"/>
  <c r="R307" i="6"/>
  <c r="T306" i="6"/>
  <c r="R303" i="6"/>
  <c r="T302" i="6"/>
  <c r="R299" i="6"/>
  <c r="T298" i="6"/>
  <c r="R295" i="6"/>
  <c r="T294" i="6"/>
  <c r="Q312" i="6"/>
  <c r="T309" i="6"/>
  <c r="S305" i="6"/>
  <c r="S302" i="6"/>
  <c r="S301" i="6"/>
  <c r="Q300" i="6"/>
  <c r="S294" i="6"/>
  <c r="S293" i="6"/>
  <c r="Q292" i="6"/>
  <c r="R291" i="6"/>
  <c r="T290" i="6"/>
  <c r="R287" i="6"/>
  <c r="T286" i="6"/>
  <c r="R283" i="6"/>
  <c r="T282" i="6"/>
  <c r="R279" i="6"/>
  <c r="T278" i="6"/>
  <c r="R275" i="6"/>
  <c r="T274" i="6"/>
  <c r="R271" i="6"/>
  <c r="T270" i="6"/>
  <c r="T313" i="6"/>
  <c r="S309" i="6"/>
  <c r="S306" i="6"/>
  <c r="R302" i="6"/>
  <c r="Q301" i="6"/>
  <c r="T295" i="6"/>
  <c r="R294" i="6"/>
  <c r="Q293" i="6"/>
  <c r="Q310" i="6"/>
  <c r="Q308" i="6"/>
  <c r="R306" i="6"/>
  <c r="T299" i="6"/>
  <c r="R296" i="6"/>
  <c r="Q284" i="6"/>
  <c r="Q283" i="6"/>
  <c r="Q282" i="6"/>
  <c r="R281" i="6"/>
  <c r="S280" i="6"/>
  <c r="T279" i="6"/>
  <c r="S278" i="6"/>
  <c r="T277" i="6"/>
  <c r="Q269" i="6"/>
  <c r="S268" i="6"/>
  <c r="Q265" i="6"/>
  <c r="S264" i="6"/>
  <c r="Q261" i="6"/>
  <c r="S260" i="6"/>
  <c r="Q257" i="6"/>
  <c r="S256" i="6"/>
  <c r="Q253" i="6"/>
  <c r="S252" i="6"/>
  <c r="Q249" i="6"/>
  <c r="S248" i="6"/>
  <c r="Q245" i="6"/>
  <c r="S244" i="6"/>
  <c r="Q241" i="6"/>
  <c r="S240" i="6"/>
  <c r="Q237" i="6"/>
  <c r="S236" i="6"/>
  <c r="Q233" i="6"/>
  <c r="S232" i="6"/>
  <c r="S313" i="6"/>
  <c r="T311" i="6"/>
  <c r="Q306" i="6"/>
  <c r="R304" i="6"/>
  <c r="Q302" i="6"/>
  <c r="S299" i="6"/>
  <c r="Q296" i="6"/>
  <c r="Q294" i="6"/>
  <c r="Q281" i="6"/>
  <c r="R280" i="6"/>
  <c r="S279" i="6"/>
  <c r="R278" i="6"/>
  <c r="S277" i="6"/>
  <c r="T276" i="6"/>
  <c r="R268" i="6"/>
  <c r="T267" i="6"/>
  <c r="R264" i="6"/>
  <c r="T263" i="6"/>
  <c r="R260" i="6"/>
  <c r="T259" i="6"/>
  <c r="R256" i="6"/>
  <c r="T255" i="6"/>
  <c r="R252" i="6"/>
  <c r="T251" i="6"/>
  <c r="R248" i="6"/>
  <c r="T247" i="6"/>
  <c r="R244" i="6"/>
  <c r="T243" i="6"/>
  <c r="S311" i="6"/>
  <c r="T307" i="6"/>
  <c r="Q304" i="6"/>
  <c r="Q299" i="6"/>
  <c r="T297" i="6"/>
  <c r="T291" i="6"/>
  <c r="S290" i="6"/>
  <c r="T289" i="6"/>
  <c r="Q280" i="6"/>
  <c r="Q279" i="6"/>
  <c r="Q278" i="6"/>
  <c r="R277" i="6"/>
  <c r="S276" i="6"/>
  <c r="T275" i="6"/>
  <c r="S274" i="6"/>
  <c r="T273" i="6"/>
  <c r="Q268" i="6"/>
  <c r="S267" i="6"/>
  <c r="Q264" i="6"/>
  <c r="S263" i="6"/>
  <c r="Q260" i="6"/>
  <c r="S259" i="6"/>
  <c r="Q256" i="6"/>
  <c r="S255" i="6"/>
  <c r="Q252" i="6"/>
  <c r="S251" i="6"/>
  <c r="Q248" i="6"/>
  <c r="S247" i="6"/>
  <c r="Q307" i="6"/>
  <c r="T303" i="6"/>
  <c r="R300" i="6"/>
  <c r="Q297" i="6"/>
  <c r="S295" i="6"/>
  <c r="R292" i="6"/>
  <c r="Q291" i="6"/>
  <c r="Q290" i="6"/>
  <c r="R289" i="6"/>
  <c r="S288" i="6"/>
  <c r="T287" i="6"/>
  <c r="S286" i="6"/>
  <c r="T285" i="6"/>
  <c r="Q276" i="6"/>
  <c r="Q275" i="6"/>
  <c r="Q274" i="6"/>
  <c r="R314" i="6"/>
  <c r="Q295" i="6"/>
  <c r="Q288" i="6"/>
  <c r="Q286" i="6"/>
  <c r="R284" i="6"/>
  <c r="R282" i="6"/>
  <c r="T280" i="6"/>
  <c r="S275" i="6"/>
  <c r="R273" i="6"/>
  <c r="S270" i="6"/>
  <c r="R269" i="6"/>
  <c r="T266" i="6"/>
  <c r="S265" i="6"/>
  <c r="T261" i="6"/>
  <c r="T257" i="6"/>
  <c r="T252" i="6"/>
  <c r="Q246" i="6"/>
  <c r="Q239" i="6"/>
  <c r="R238" i="6"/>
  <c r="S237" i="6"/>
  <c r="T236" i="6"/>
  <c r="T235" i="6"/>
  <c r="R229" i="6"/>
  <c r="T228" i="6"/>
  <c r="R225" i="6"/>
  <c r="T224" i="6"/>
  <c r="R221" i="6"/>
  <c r="T220" i="6"/>
  <c r="R217" i="6"/>
  <c r="T216" i="6"/>
  <c r="R213" i="6"/>
  <c r="T212" i="6"/>
  <c r="R209" i="6"/>
  <c r="T208" i="6"/>
  <c r="R205" i="6"/>
  <c r="T204" i="6"/>
  <c r="R201" i="6"/>
  <c r="T200" i="6"/>
  <c r="R197" i="6"/>
  <c r="T196" i="6"/>
  <c r="R193" i="6"/>
  <c r="T192" i="6"/>
  <c r="R189" i="6"/>
  <c r="T188" i="6"/>
  <c r="R185" i="6"/>
  <c r="T184" i="6"/>
  <c r="R181" i="6"/>
  <c r="T180" i="6"/>
  <c r="R177" i="6"/>
  <c r="T176" i="6"/>
  <c r="R173" i="6"/>
  <c r="T172" i="6"/>
  <c r="R169" i="6"/>
  <c r="T168" i="6"/>
  <c r="R165" i="6"/>
  <c r="T164" i="6"/>
  <c r="R161" i="6"/>
  <c r="Q314" i="6"/>
  <c r="S289" i="6"/>
  <c r="Q273" i="6"/>
  <c r="R270" i="6"/>
  <c r="S266" i="6"/>
  <c r="R265" i="6"/>
  <c r="T262" i="6"/>
  <c r="S261" i="6"/>
  <c r="T258" i="6"/>
  <c r="S257" i="6"/>
  <c r="T253" i="6"/>
  <c r="T248" i="6"/>
  <c r="Q238" i="6"/>
  <c r="R237" i="6"/>
  <c r="R236" i="6"/>
  <c r="S235" i="6"/>
  <c r="T234" i="6"/>
  <c r="Q229" i="6"/>
  <c r="S228" i="6"/>
  <c r="Q225" i="6"/>
  <c r="S224" i="6"/>
  <c r="Q221" i="6"/>
  <c r="S220" i="6"/>
  <c r="Q217" i="6"/>
  <c r="S216" i="6"/>
  <c r="Q213" i="6"/>
  <c r="S212" i="6"/>
  <c r="Q209" i="6"/>
  <c r="S208" i="6"/>
  <c r="Q205" i="6"/>
  <c r="S204" i="6"/>
  <c r="Q201" i="6"/>
  <c r="S200" i="6"/>
  <c r="Q197" i="6"/>
  <c r="S196" i="6"/>
  <c r="Q193" i="6"/>
  <c r="S192" i="6"/>
  <c r="Q189" i="6"/>
  <c r="S188" i="6"/>
  <c r="Q185" i="6"/>
  <c r="S184" i="6"/>
  <c r="Q181" i="6"/>
  <c r="S180" i="6"/>
  <c r="Q177" i="6"/>
  <c r="S176" i="6"/>
  <c r="Q173" i="6"/>
  <c r="S172" i="6"/>
  <c r="Q169" i="6"/>
  <c r="Q311" i="6"/>
  <c r="R308" i="6"/>
  <c r="Q298" i="6"/>
  <c r="S297" i="6"/>
  <c r="T293" i="6"/>
  <c r="Q287" i="6"/>
  <c r="Q285" i="6"/>
  <c r="S283" i="6"/>
  <c r="S281" i="6"/>
  <c r="R274" i="6"/>
  <c r="T272" i="6"/>
  <c r="S271" i="6"/>
  <c r="Q263" i="6"/>
  <c r="Q262" i="6"/>
  <c r="R259" i="6"/>
  <c r="Q258" i="6"/>
  <c r="R255" i="6"/>
  <c r="R254" i="6"/>
  <c r="S250" i="6"/>
  <c r="R249" i="6"/>
  <c r="R243" i="6"/>
  <c r="S242" i="6"/>
  <c r="T241" i="6"/>
  <c r="Q234" i="6"/>
  <c r="R233" i="6"/>
  <c r="R232" i="6"/>
  <c r="S231" i="6"/>
  <c r="T230" i="6"/>
  <c r="R227" i="6"/>
  <c r="T226" i="6"/>
  <c r="R223" i="6"/>
  <c r="T222" i="6"/>
  <c r="R219" i="6"/>
  <c r="T218" i="6"/>
  <c r="R215" i="6"/>
  <c r="T214" i="6"/>
  <c r="R211" i="6"/>
  <c r="T210" i="6"/>
  <c r="R207" i="6"/>
  <c r="T206" i="6"/>
  <c r="R203" i="6"/>
  <c r="R312" i="6"/>
  <c r="Q289" i="6"/>
  <c r="T283" i="6"/>
  <c r="R272" i="6"/>
  <c r="S245" i="6"/>
  <c r="S243" i="6"/>
  <c r="Q242" i="6"/>
  <c r="T240" i="6"/>
  <c r="R234" i="6"/>
  <c r="R231" i="6"/>
  <c r="R228" i="6"/>
  <c r="Q224" i="6"/>
  <c r="T221" i="6"/>
  <c r="S217" i="6"/>
  <c r="S214" i="6"/>
  <c r="R210" i="6"/>
  <c r="T207" i="6"/>
  <c r="Q206" i="6"/>
  <c r="S203" i="6"/>
  <c r="R202" i="6"/>
  <c r="T195" i="6"/>
  <c r="T194" i="6"/>
  <c r="T193" i="6"/>
  <c r="Q192" i="6"/>
  <c r="Q191" i="6"/>
  <c r="Q190" i="6"/>
  <c r="S183" i="6"/>
  <c r="S182" i="6"/>
  <c r="S181" i="6"/>
  <c r="R172" i="6"/>
  <c r="R171" i="6"/>
  <c r="R170" i="6"/>
  <c r="Q167" i="6"/>
  <c r="R166" i="6"/>
  <c r="S165" i="6"/>
  <c r="R164" i="6"/>
  <c r="S163" i="6"/>
  <c r="T162" i="6"/>
  <c r="Q158" i="6"/>
  <c r="S157" i="6"/>
  <c r="Q154" i="6"/>
  <c r="S153" i="6"/>
  <c r="Q150" i="6"/>
  <c r="S149" i="6"/>
  <c r="Q146" i="6"/>
  <c r="S145" i="6"/>
  <c r="Q142" i="6"/>
  <c r="S141" i="6"/>
  <c r="Q138" i="6"/>
  <c r="S310" i="6"/>
  <c r="T305" i="6"/>
  <c r="S300" i="6"/>
  <c r="R286" i="6"/>
  <c r="Q272" i="6"/>
  <c r="Q259" i="6"/>
  <c r="T250" i="6"/>
  <c r="R245" i="6"/>
  <c r="Q243" i="6"/>
  <c r="R240" i="6"/>
  <c r="Q231" i="6"/>
  <c r="Q228" i="6"/>
  <c r="T225" i="6"/>
  <c r="S221" i="6"/>
  <c r="S218" i="6"/>
  <c r="R214" i="6"/>
  <c r="T211" i="6"/>
  <c r="Q210" i="6"/>
  <c r="S207" i="6"/>
  <c r="Q203" i="6"/>
  <c r="Q202" i="6"/>
  <c r="S195" i="6"/>
  <c r="S194" i="6"/>
  <c r="S193" i="6"/>
  <c r="R184" i="6"/>
  <c r="R183" i="6"/>
  <c r="R182" i="6"/>
  <c r="T175" i="6"/>
  <c r="T174" i="6"/>
  <c r="T173" i="6"/>
  <c r="Q172" i="6"/>
  <c r="Q171" i="6"/>
  <c r="Q170" i="6"/>
  <c r="Q166" i="6"/>
  <c r="Q165" i="6"/>
  <c r="Q164" i="6"/>
  <c r="R163" i="6"/>
  <c r="S162" i="6"/>
  <c r="T161" i="6"/>
  <c r="T160" i="6"/>
  <c r="R157" i="6"/>
  <c r="T156" i="6"/>
  <c r="R153" i="6"/>
  <c r="T152" i="6"/>
  <c r="R149" i="6"/>
  <c r="T148" i="6"/>
  <c r="R145" i="6"/>
  <c r="T144" i="6"/>
  <c r="R141" i="6"/>
  <c r="T140" i="6"/>
  <c r="R137" i="6"/>
  <c r="T136" i="6"/>
  <c r="R133" i="6"/>
  <c r="T132" i="6"/>
  <c r="R129" i="6"/>
  <c r="T128" i="6"/>
  <c r="R125" i="6"/>
  <c r="T124" i="6"/>
  <c r="R121" i="6"/>
  <c r="T120" i="6"/>
  <c r="R117" i="6"/>
  <c r="R310" i="6"/>
  <c r="S285" i="6"/>
  <c r="R267" i="6"/>
  <c r="R263" i="6"/>
  <c r="R261" i="6"/>
  <c r="T254" i="6"/>
  <c r="R250" i="6"/>
  <c r="T246" i="6"/>
  <c r="Q240" i="6"/>
  <c r="T237" i="6"/>
  <c r="T232" i="6"/>
  <c r="T229" i="6"/>
  <c r="S225" i="6"/>
  <c r="S222" i="6"/>
  <c r="R218" i="6"/>
  <c r="T215" i="6"/>
  <c r="Q214" i="6"/>
  <c r="S211" i="6"/>
  <c r="Q207" i="6"/>
  <c r="R204" i="6"/>
  <c r="R196" i="6"/>
  <c r="R195" i="6"/>
  <c r="R194" i="6"/>
  <c r="T187" i="6"/>
  <c r="T186" i="6"/>
  <c r="T185" i="6"/>
  <c r="Q184" i="6"/>
  <c r="Q183" i="6"/>
  <c r="Q182" i="6"/>
  <c r="Q303" i="6"/>
  <c r="S298" i="6"/>
  <c r="S291" i="6"/>
  <c r="R288" i="6"/>
  <c r="T271" i="6"/>
  <c r="S269" i="6"/>
  <c r="R258" i="6"/>
  <c r="Q254" i="6"/>
  <c r="R246" i="6"/>
  <c r="T244" i="6"/>
  <c r="R241" i="6"/>
  <c r="T238" i="6"/>
  <c r="Q235" i="6"/>
  <c r="T233" i="6"/>
  <c r="S230" i="6"/>
  <c r="R226" i="6"/>
  <c r="T223" i="6"/>
  <c r="Q222" i="6"/>
  <c r="S219" i="6"/>
  <c r="Q215" i="6"/>
  <c r="R212" i="6"/>
  <c r="Q208" i="6"/>
  <c r="T205" i="6"/>
  <c r="S199" i="6"/>
  <c r="S198" i="6"/>
  <c r="S197" i="6"/>
  <c r="R188" i="6"/>
  <c r="R187" i="6"/>
  <c r="R186" i="6"/>
  <c r="T179" i="6"/>
  <c r="T178" i="6"/>
  <c r="T177" i="6"/>
  <c r="Q176" i="6"/>
  <c r="Q175" i="6"/>
  <c r="Q174" i="6"/>
  <c r="S314" i="6"/>
  <c r="T301" i="6"/>
  <c r="S292" i="6"/>
  <c r="R285" i="6"/>
  <c r="S272" i="6"/>
  <c r="S246" i="6"/>
  <c r="T231" i="6"/>
  <c r="T227" i="6"/>
  <c r="Q219" i="6"/>
  <c r="R216" i="6"/>
  <c r="S213" i="6"/>
  <c r="T209" i="6"/>
  <c r="T199" i="6"/>
  <c r="Q195" i="6"/>
  <c r="T190" i="6"/>
  <c r="Q188" i="6"/>
  <c r="S178" i="6"/>
  <c r="R176" i="6"/>
  <c r="R174" i="6"/>
  <c r="T170" i="6"/>
  <c r="R167" i="6"/>
  <c r="S164" i="6"/>
  <c r="Q160" i="6"/>
  <c r="Q159" i="6"/>
  <c r="S152" i="6"/>
  <c r="S151" i="6"/>
  <c r="S150" i="6"/>
  <c r="Q149" i="6"/>
  <c r="R140" i="6"/>
  <c r="R139" i="6"/>
  <c r="R138" i="6"/>
  <c r="Q137" i="6"/>
  <c r="Q136" i="6"/>
  <c r="R135" i="6"/>
  <c r="S134" i="6"/>
  <c r="T133" i="6"/>
  <c r="S132" i="6"/>
  <c r="T131" i="6"/>
  <c r="Q122" i="6"/>
  <c r="Q121" i="6"/>
  <c r="Q120" i="6"/>
  <c r="R119" i="6"/>
  <c r="S118" i="6"/>
  <c r="T117" i="6"/>
  <c r="Q114" i="6"/>
  <c r="S113" i="6"/>
  <c r="Q110" i="6"/>
  <c r="S109" i="6"/>
  <c r="Q106" i="6"/>
  <c r="S105" i="6"/>
  <c r="Q102" i="6"/>
  <c r="S101" i="6"/>
  <c r="Q98" i="6"/>
  <c r="S97" i="6"/>
  <c r="Q94" i="6"/>
  <c r="S93" i="6"/>
  <c r="Q90" i="6"/>
  <c r="S89" i="6"/>
  <c r="Q86" i="6"/>
  <c r="S85" i="6"/>
  <c r="Q82" i="6"/>
  <c r="S81" i="6"/>
  <c r="Q78" i="6"/>
  <c r="S77" i="6"/>
  <c r="Q74" i="6"/>
  <c r="S73" i="6"/>
  <c r="Q70" i="6"/>
  <c r="S69" i="6"/>
  <c r="Q66" i="6"/>
  <c r="S65" i="6"/>
  <c r="Q62" i="6"/>
  <c r="S61" i="6"/>
  <c r="Q58" i="6"/>
  <c r="S57" i="6"/>
  <c r="Q54" i="6"/>
  <c r="S53" i="6"/>
  <c r="Q50" i="6"/>
  <c r="S49" i="6"/>
  <c r="R257" i="6"/>
  <c r="S253" i="6"/>
  <c r="T249" i="6"/>
  <c r="S234" i="6"/>
  <c r="S227" i="6"/>
  <c r="Q216" i="6"/>
  <c r="Q212" i="6"/>
  <c r="S209" i="6"/>
  <c r="R199" i="6"/>
  <c r="T197" i="6"/>
  <c r="S190" i="6"/>
  <c r="S185" i="6"/>
  <c r="R178" i="6"/>
  <c r="S170" i="6"/>
  <c r="S168" i="6"/>
  <c r="S161" i="6"/>
  <c r="R152" i="6"/>
  <c r="R151" i="6"/>
  <c r="R150" i="6"/>
  <c r="T143" i="6"/>
  <c r="T142" i="6"/>
  <c r="T141" i="6"/>
  <c r="Q140" i="6"/>
  <c r="Q139" i="6"/>
  <c r="Q135" i="6"/>
  <c r="R134" i="6"/>
  <c r="S133" i="6"/>
  <c r="R132" i="6"/>
  <c r="S131" i="6"/>
  <c r="T130" i="6"/>
  <c r="Q119" i="6"/>
  <c r="R118" i="6"/>
  <c r="S117" i="6"/>
  <c r="T116" i="6"/>
  <c r="R113" i="6"/>
  <c r="T112" i="6"/>
  <c r="R109" i="6"/>
  <c r="T108" i="6"/>
  <c r="R105" i="6"/>
  <c r="T104" i="6"/>
  <c r="R101" i="6"/>
  <c r="T100" i="6"/>
  <c r="R97" i="6"/>
  <c r="T96" i="6"/>
  <c r="R93" i="6"/>
  <c r="T92" i="6"/>
  <c r="R89" i="6"/>
  <c r="T88" i="6"/>
  <c r="R85" i="6"/>
  <c r="T84" i="6"/>
  <c r="R81" i="6"/>
  <c r="T80" i="6"/>
  <c r="R77" i="6"/>
  <c r="T76" i="6"/>
  <c r="R73" i="6"/>
  <c r="T72" i="6"/>
  <c r="R69" i="6"/>
  <c r="T68" i="6"/>
  <c r="R65" i="6"/>
  <c r="T64" i="6"/>
  <c r="R61" i="6"/>
  <c r="T60" i="6"/>
  <c r="R57" i="6"/>
  <c r="T56" i="6"/>
  <c r="R53" i="6"/>
  <c r="T52" i="6"/>
  <c r="R49" i="6"/>
  <c r="S307" i="6"/>
  <c r="R290" i="6"/>
  <c r="T284" i="6"/>
  <c r="T268" i="6"/>
  <c r="Q267" i="6"/>
  <c r="T264" i="6"/>
  <c r="R253" i="6"/>
  <c r="S249" i="6"/>
  <c r="S233" i="6"/>
  <c r="R230" i="6"/>
  <c r="Q227" i="6"/>
  <c r="R224" i="6"/>
  <c r="S215" i="6"/>
  <c r="S206" i="6"/>
  <c r="T203" i="6"/>
  <c r="T201" i="6"/>
  <c r="Q199" i="6"/>
  <c r="R192" i="6"/>
  <c r="R190" i="6"/>
  <c r="S187" i="6"/>
  <c r="R180" i="6"/>
  <c r="Q178" i="6"/>
  <c r="T171" i="6"/>
  <c r="R168" i="6"/>
  <c r="T165" i="6"/>
  <c r="Q161" i="6"/>
  <c r="T155" i="6"/>
  <c r="T154" i="6"/>
  <c r="T153" i="6"/>
  <c r="Q152" i="6"/>
  <c r="Q151" i="6"/>
  <c r="S144" i="6"/>
  <c r="S143" i="6"/>
  <c r="S142" i="6"/>
  <c r="Q141" i="6"/>
  <c r="Q134" i="6"/>
  <c r="Q133" i="6"/>
  <c r="Q132" i="6"/>
  <c r="R131" i="6"/>
  <c r="S130" i="6"/>
  <c r="T129" i="6"/>
  <c r="S128" i="6"/>
  <c r="T127" i="6"/>
  <c r="Q118" i="6"/>
  <c r="Q117" i="6"/>
  <c r="S116" i="6"/>
  <c r="Q113" i="6"/>
  <c r="S112" i="6"/>
  <c r="Q109" i="6"/>
  <c r="S108" i="6"/>
  <c r="Q105" i="6"/>
  <c r="S104" i="6"/>
  <c r="Q101" i="6"/>
  <c r="S100" i="6"/>
  <c r="Q97" i="6"/>
  <c r="S96" i="6"/>
  <c r="Q93" i="6"/>
  <c r="S92" i="6"/>
  <c r="Q89" i="6"/>
  <c r="S88" i="6"/>
  <c r="Q85" i="6"/>
  <c r="S84" i="6"/>
  <c r="Q81" i="6"/>
  <c r="S80" i="6"/>
  <c r="Q77" i="6"/>
  <c r="S76" i="6"/>
  <c r="Q73" i="6"/>
  <c r="S72" i="6"/>
  <c r="Q69" i="6"/>
  <c r="T288" i="6"/>
  <c r="S284" i="6"/>
  <c r="Q277" i="6"/>
  <c r="Q271" i="6"/>
  <c r="S273" i="6"/>
  <c r="Q244" i="6"/>
  <c r="S241" i="6"/>
  <c r="T239" i="6"/>
  <c r="Q236" i="6"/>
  <c r="S229" i="6"/>
  <c r="T217" i="6"/>
  <c r="T198" i="6"/>
  <c r="Q194" i="6"/>
  <c r="T191" i="6"/>
  <c r="T182" i="6"/>
  <c r="Q179" i="6"/>
  <c r="Q168" i="6"/>
  <c r="S159" i="6"/>
  <c r="S155" i="6"/>
  <c r="Q148" i="6"/>
  <c r="T146" i="6"/>
  <c r="S139" i="6"/>
  <c r="R127" i="6"/>
  <c r="Q126" i="6"/>
  <c r="S124" i="6"/>
  <c r="Q123" i="6"/>
  <c r="T115" i="6"/>
  <c r="S114" i="6"/>
  <c r="T111" i="6"/>
  <c r="S110" i="6"/>
  <c r="T107" i="6"/>
  <c r="S106" i="6"/>
  <c r="T103" i="6"/>
  <c r="S102" i="6"/>
  <c r="T98" i="6"/>
  <c r="T93" i="6"/>
  <c r="T89" i="6"/>
  <c r="T85" i="6"/>
  <c r="T81" i="6"/>
  <c r="T77" i="6"/>
  <c r="T73" i="6"/>
  <c r="T69" i="6"/>
  <c r="R60" i="6"/>
  <c r="R59" i="6"/>
  <c r="R58" i="6"/>
  <c r="T51" i="6"/>
  <c r="T50" i="6"/>
  <c r="T49" i="6"/>
  <c r="T48" i="6"/>
  <c r="R45" i="6"/>
  <c r="T44" i="6"/>
  <c r="R41" i="6"/>
  <c r="T40" i="6"/>
  <c r="R37" i="6"/>
  <c r="T36" i="6"/>
  <c r="R33" i="6"/>
  <c r="T32" i="6"/>
  <c r="R29" i="6"/>
  <c r="T28" i="6"/>
  <c r="R25" i="6"/>
  <c r="T24" i="6"/>
  <c r="R21" i="6"/>
  <c r="T20" i="6"/>
  <c r="R17" i="6"/>
  <c r="T16" i="6"/>
  <c r="R298" i="6"/>
  <c r="T265" i="6"/>
  <c r="S254" i="6"/>
  <c r="S239" i="6"/>
  <c r="R235" i="6"/>
  <c r="S210" i="6"/>
  <c r="R206" i="6"/>
  <c r="T202" i="6"/>
  <c r="R198" i="6"/>
  <c r="S191" i="6"/>
  <c r="S186" i="6"/>
  <c r="S174" i="6"/>
  <c r="R159" i="6"/>
  <c r="T157" i="6"/>
  <c r="R155" i="6"/>
  <c r="Q153" i="6"/>
  <c r="T151" i="6"/>
  <c r="S146" i="6"/>
  <c r="R144" i="6"/>
  <c r="R142" i="6"/>
  <c r="T137" i="6"/>
  <c r="T134" i="6"/>
  <c r="Q127" i="6"/>
  <c r="R124" i="6"/>
  <c r="T121" i="6"/>
  <c r="T118" i="6"/>
  <c r="S115" i="6"/>
  <c r="R114" i="6"/>
  <c r="S111" i="6"/>
  <c r="R110" i="6"/>
  <c r="S107" i="6"/>
  <c r="R106" i="6"/>
  <c r="S103" i="6"/>
  <c r="R102" i="6"/>
  <c r="T99" i="6"/>
  <c r="S98" i="6"/>
  <c r="T94" i="6"/>
  <c r="T90" i="6"/>
  <c r="T86" i="6"/>
  <c r="T82" i="6"/>
  <c r="T78" i="6"/>
  <c r="T74" i="6"/>
  <c r="T70" i="6"/>
  <c r="S282" i="6"/>
  <c r="S258" i="6"/>
  <c r="R247" i="6"/>
  <c r="R239" i="6"/>
  <c r="R220" i="6"/>
  <c r="S205" i="6"/>
  <c r="S202" i="6"/>
  <c r="S201" i="6"/>
  <c r="Q198" i="6"/>
  <c r="R191" i="6"/>
  <c r="Q186" i="6"/>
  <c r="S177" i="6"/>
  <c r="S173" i="6"/>
  <c r="T163" i="6"/>
  <c r="Q157" i="6"/>
  <c r="Q155" i="6"/>
  <c r="T147" i="6"/>
  <c r="R146" i="6"/>
  <c r="Q144" i="6"/>
  <c r="S140" i="6"/>
  <c r="S137" i="6"/>
  <c r="R130" i="6"/>
  <c r="Q124" i="6"/>
  <c r="S121" i="6"/>
  <c r="R116" i="6"/>
  <c r="R115" i="6"/>
  <c r="R111" i="6"/>
  <c r="R107" i="6"/>
  <c r="R103" i="6"/>
  <c r="S99" i="6"/>
  <c r="R98" i="6"/>
  <c r="T95" i="6"/>
  <c r="S94" i="6"/>
  <c r="T91" i="6"/>
  <c r="S90" i="6"/>
  <c r="T87" i="6"/>
  <c r="S86" i="6"/>
  <c r="T83" i="6"/>
  <c r="S82" i="6"/>
  <c r="T79" i="6"/>
  <c r="S78" i="6"/>
  <c r="T75" i="6"/>
  <c r="S74" i="6"/>
  <c r="T71" i="6"/>
  <c r="S70" i="6"/>
  <c r="S64" i="6"/>
  <c r="S63" i="6"/>
  <c r="S62" i="6"/>
  <c r="Q61" i="6"/>
  <c r="R52" i="6"/>
  <c r="R51" i="6"/>
  <c r="R50" i="6"/>
  <c r="R48" i="6"/>
  <c r="T47" i="6"/>
  <c r="R44" i="6"/>
  <c r="T43" i="6"/>
  <c r="R40" i="6"/>
  <c r="T39" i="6"/>
  <c r="S303" i="6"/>
  <c r="R262" i="6"/>
  <c r="Q251" i="6"/>
  <c r="S238" i="6"/>
  <c r="Q232" i="6"/>
  <c r="Q223" i="6"/>
  <c r="T219" i="6"/>
  <c r="R208" i="6"/>
  <c r="R200" i="6"/>
  <c r="T189" i="6"/>
  <c r="T181" i="6"/>
  <c r="S167" i="6"/>
  <c r="R160" i="6"/>
  <c r="T158" i="6"/>
  <c r="S156" i="6"/>
  <c r="S154" i="6"/>
  <c r="R147" i="6"/>
  <c r="T138" i="6"/>
  <c r="S135" i="6"/>
  <c r="Q128" i="6"/>
  <c r="S125" i="6"/>
  <c r="S122" i="6"/>
  <c r="S119" i="6"/>
  <c r="Q112" i="6"/>
  <c r="Q108" i="6"/>
  <c r="Q104" i="6"/>
  <c r="Q100" i="6"/>
  <c r="Q99" i="6"/>
  <c r="R96" i="6"/>
  <c r="R95" i="6"/>
  <c r="R91" i="6"/>
  <c r="R87" i="6"/>
  <c r="R83" i="6"/>
  <c r="R79" i="6"/>
  <c r="R75" i="6"/>
  <c r="R71" i="6"/>
  <c r="T67" i="6"/>
  <c r="T66" i="6"/>
  <c r="T65" i="6"/>
  <c r="Q64" i="6"/>
  <c r="Q63" i="6"/>
  <c r="S56" i="6"/>
  <c r="S55" i="6"/>
  <c r="S54" i="6"/>
  <c r="Q53" i="6"/>
  <c r="R47" i="6"/>
  <c r="T46" i="6"/>
  <c r="R43" i="6"/>
  <c r="T42" i="6"/>
  <c r="R39" i="6"/>
  <c r="T38" i="6"/>
  <c r="R35" i="6"/>
  <c r="T34" i="6"/>
  <c r="R31" i="6"/>
  <c r="T30" i="6"/>
  <c r="R27" i="6"/>
  <c r="T26" i="6"/>
  <c r="R23" i="6"/>
  <c r="T22" i="6"/>
  <c r="R19" i="6"/>
  <c r="T18" i="6"/>
  <c r="Q270" i="6"/>
  <c r="R222" i="6"/>
  <c r="Q204" i="6"/>
  <c r="T183" i="6"/>
  <c r="S166" i="6"/>
  <c r="R162" i="6"/>
  <c r="R158" i="6"/>
  <c r="T123" i="6"/>
  <c r="T114" i="6"/>
  <c r="Q111" i="6"/>
  <c r="R108" i="6"/>
  <c r="R94" i="6"/>
  <c r="Q91" i="6"/>
  <c r="Q88" i="6"/>
  <c r="R78" i="6"/>
  <c r="S75" i="6"/>
  <c r="R72" i="6"/>
  <c r="S66" i="6"/>
  <c r="R64" i="6"/>
  <c r="Q59" i="6"/>
  <c r="T57" i="6"/>
  <c r="R55" i="6"/>
  <c r="T260" i="6"/>
  <c r="Q250" i="6"/>
  <c r="T242" i="6"/>
  <c r="S226" i="6"/>
  <c r="Q220" i="6"/>
  <c r="S175" i="6"/>
  <c r="T169" i="6"/>
  <c r="Q162" i="6"/>
  <c r="T149" i="6"/>
  <c r="S129" i="6"/>
  <c r="T126" i="6"/>
  <c r="S123" i="6"/>
  <c r="S120" i="6"/>
  <c r="T105" i="6"/>
  <c r="T97" i="6"/>
  <c r="S87" i="6"/>
  <c r="R84" i="6"/>
  <c r="Q75" i="6"/>
  <c r="Q72" i="6"/>
  <c r="R66" i="6"/>
  <c r="T62" i="6"/>
  <c r="Q57" i="6"/>
  <c r="Q55" i="6"/>
  <c r="T53" i="6"/>
  <c r="S51" i="6"/>
  <c r="R46" i="6"/>
  <c r="S43" i="6"/>
  <c r="R36" i="6"/>
  <c r="Q35" i="6"/>
  <c r="T29" i="6"/>
  <c r="R28" i="6"/>
  <c r="Q27" i="6"/>
  <c r="T269" i="6"/>
  <c r="Q247" i="6"/>
  <c r="R242" i="6"/>
  <c r="Q226" i="6"/>
  <c r="Q218" i="6"/>
  <c r="Q200" i="6"/>
  <c r="R175" i="6"/>
  <c r="S169" i="6"/>
  <c r="S160" i="6"/>
  <c r="T145" i="6"/>
  <c r="Q129" i="6"/>
  <c r="S126" i="6"/>
  <c r="R123" i="6"/>
  <c r="R120" i="6"/>
  <c r="Q116" i="6"/>
  <c r="T102" i="6"/>
  <c r="Q96" i="6"/>
  <c r="R90" i="6"/>
  <c r="Q87" i="6"/>
  <c r="Q84" i="6"/>
  <c r="S71" i="6"/>
  <c r="S68" i="6"/>
  <c r="R62" i="6"/>
  <c r="S60" i="6"/>
  <c r="T281" i="6"/>
  <c r="R266" i="6"/>
  <c r="R156" i="6"/>
  <c r="S148" i="6"/>
  <c r="Q145" i="6"/>
  <c r="S136" i="6"/>
  <c r="R128" i="6"/>
  <c r="R126" i="6"/>
  <c r="T119" i="6"/>
  <c r="T113" i="6"/>
  <c r="T110" i="6"/>
  <c r="Q107" i="6"/>
  <c r="R99" i="6"/>
  <c r="S83" i="6"/>
  <c r="R80" i="6"/>
  <c r="R74" i="6"/>
  <c r="Q71" i="6"/>
  <c r="R68" i="6"/>
  <c r="Q60" i="6"/>
  <c r="T58" i="6"/>
  <c r="R56" i="6"/>
  <c r="S47" i="6"/>
  <c r="Q40" i="6"/>
  <c r="S37" i="6"/>
  <c r="T31" i="6"/>
  <c r="R30" i="6"/>
  <c r="Q29" i="6"/>
  <c r="R251" i="6"/>
  <c r="S179" i="6"/>
  <c r="T166" i="6"/>
  <c r="S158" i="6"/>
  <c r="T150" i="6"/>
  <c r="Q143" i="6"/>
  <c r="T125" i="6"/>
  <c r="T101" i="6"/>
  <c r="Q95" i="6"/>
  <c r="R82" i="6"/>
  <c r="R63" i="6"/>
  <c r="T59" i="6"/>
  <c r="S52" i="6"/>
  <c r="S45" i="6"/>
  <c r="Q43" i="6"/>
  <c r="S41" i="6"/>
  <c r="S39" i="6"/>
  <c r="T37" i="6"/>
  <c r="R34" i="6"/>
  <c r="Q31" i="6"/>
  <c r="S26" i="6"/>
  <c r="S22" i="6"/>
  <c r="S21" i="6"/>
  <c r="Q20" i="6"/>
  <c r="Q14" i="6"/>
  <c r="S13" i="6"/>
  <c r="Q10" i="6"/>
  <c r="S9" i="6"/>
  <c r="Q6" i="6"/>
  <c r="S5" i="6"/>
  <c r="Q2" i="6"/>
  <c r="Q125" i="6"/>
  <c r="R76" i="6"/>
  <c r="Q68" i="6"/>
  <c r="S59" i="6"/>
  <c r="Q52" i="6"/>
  <c r="Q45" i="6"/>
  <c r="Q41" i="6"/>
  <c r="Q37" i="6"/>
  <c r="Q34" i="6"/>
  <c r="S29" i="6"/>
  <c r="R26" i="6"/>
  <c r="T23" i="6"/>
  <c r="R22" i="6"/>
  <c r="Q21" i="6"/>
  <c r="R13" i="6"/>
  <c r="T12" i="6"/>
  <c r="R9" i="6"/>
  <c r="T8" i="6"/>
  <c r="R5" i="6"/>
  <c r="T4" i="6"/>
  <c r="Q131" i="6"/>
  <c r="S46" i="6"/>
  <c r="S38" i="6"/>
  <c r="T27" i="6"/>
  <c r="T17" i="6"/>
  <c r="T15" i="6"/>
  <c r="T7" i="6"/>
  <c r="R4" i="6"/>
  <c r="Q266" i="6"/>
  <c r="Q255" i="6"/>
  <c r="T135" i="6"/>
  <c r="T63" i="6"/>
  <c r="S31" i="6"/>
  <c r="Q25" i="6"/>
  <c r="R20" i="6"/>
  <c r="T9" i="6"/>
  <c r="T5" i="6"/>
  <c r="S262" i="6"/>
  <c r="Q230" i="6"/>
  <c r="S189" i="6"/>
  <c r="R179" i="6"/>
  <c r="S58" i="6"/>
  <c r="T54" i="6"/>
  <c r="Q49" i="6"/>
  <c r="Q39" i="6"/>
  <c r="T213" i="6"/>
  <c r="S171" i="6"/>
  <c r="R148" i="6"/>
  <c r="T139" i="6"/>
  <c r="R67" i="6"/>
  <c r="Q51" i="6"/>
  <c r="R32" i="6"/>
  <c r="R16" i="6"/>
  <c r="R12" i="6"/>
  <c r="T3" i="6"/>
  <c r="Q33" i="6"/>
  <c r="S14" i="6"/>
  <c r="Q7" i="6"/>
  <c r="Q3" i="6"/>
  <c r="T55" i="6"/>
  <c r="T21" i="6"/>
  <c r="R10" i="6"/>
  <c r="T245" i="6"/>
  <c r="Q187" i="6"/>
  <c r="Q156" i="6"/>
  <c r="Q115" i="6"/>
  <c r="R104" i="6"/>
  <c r="R100" i="6"/>
  <c r="R88" i="6"/>
  <c r="R86" i="6"/>
  <c r="Q80" i="6"/>
  <c r="Q76" i="6"/>
  <c r="S67" i="6"/>
  <c r="R54" i="6"/>
  <c r="T35" i="6"/>
  <c r="S32" i="6"/>
  <c r="Q26" i="6"/>
  <c r="S23" i="6"/>
  <c r="Q22" i="6"/>
  <c r="S16" i="6"/>
  <c r="Q13" i="6"/>
  <c r="S12" i="6"/>
  <c r="Q9" i="6"/>
  <c r="S8" i="6"/>
  <c r="Q5" i="6"/>
  <c r="S4" i="6"/>
  <c r="Q196" i="6"/>
  <c r="R154" i="6"/>
  <c r="S147" i="6"/>
  <c r="T109" i="6"/>
  <c r="S79" i="6"/>
  <c r="S42" i="6"/>
  <c r="S35" i="6"/>
  <c r="S24" i="6"/>
  <c r="Q23" i="6"/>
  <c r="T11" i="6"/>
  <c r="R8" i="6"/>
  <c r="Q36" i="6"/>
  <c r="S28" i="6"/>
  <c r="S25" i="6"/>
  <c r="S20" i="6"/>
  <c r="S10" i="6"/>
  <c r="S6" i="6"/>
  <c r="Q180" i="6"/>
  <c r="R143" i="6"/>
  <c r="T45" i="6"/>
  <c r="T41" i="6"/>
  <c r="Q19" i="6"/>
  <c r="R14" i="6"/>
  <c r="R2" i="6"/>
  <c r="S296" i="6"/>
  <c r="Q211" i="6"/>
  <c r="Q163" i="6"/>
  <c r="Q147" i="6"/>
  <c r="Q130" i="6"/>
  <c r="T122" i="6"/>
  <c r="R92" i="6"/>
  <c r="Q79" i="6"/>
  <c r="Q67" i="6"/>
  <c r="T61" i="6"/>
  <c r="Q56" i="6"/>
  <c r="S48" i="6"/>
  <c r="Q46" i="6"/>
  <c r="S44" i="6"/>
  <c r="R42" i="6"/>
  <c r="S40" i="6"/>
  <c r="R38" i="6"/>
  <c r="T33" i="6"/>
  <c r="Q32" i="6"/>
  <c r="S30" i="6"/>
  <c r="S27" i="6"/>
  <c r="R24" i="6"/>
  <c r="S18" i="6"/>
  <c r="S17" i="6"/>
  <c r="Q16" i="6"/>
  <c r="S15" i="6"/>
  <c r="Q12" i="6"/>
  <c r="S11" i="6"/>
  <c r="Q8" i="6"/>
  <c r="S7" i="6"/>
  <c r="Q4" i="6"/>
  <c r="S3" i="6"/>
  <c r="S287" i="6"/>
  <c r="T167" i="6"/>
  <c r="T159" i="6"/>
  <c r="R136" i="6"/>
  <c r="S127" i="6"/>
  <c r="R112" i="6"/>
  <c r="T106" i="6"/>
  <c r="S91" i="6"/>
  <c r="Q83" i="6"/>
  <c r="R70" i="6"/>
  <c r="S19" i="6"/>
  <c r="Q18" i="6"/>
  <c r="Q15" i="6"/>
  <c r="Q11" i="6"/>
  <c r="S2" i="6"/>
  <c r="S95" i="6"/>
  <c r="Q47" i="6"/>
  <c r="S34" i="6"/>
  <c r="Q28" i="6"/>
  <c r="T13" i="6"/>
  <c r="R6" i="6"/>
  <c r="R276" i="6"/>
  <c r="T256" i="6"/>
  <c r="S223" i="6"/>
  <c r="S138" i="6"/>
  <c r="R122" i="6"/>
  <c r="Q103" i="6"/>
  <c r="Q92" i="6"/>
  <c r="Q65" i="6"/>
  <c r="S50" i="6"/>
  <c r="Q48" i="6"/>
  <c r="Q44" i="6"/>
  <c r="Q42" i="6"/>
  <c r="Q38" i="6"/>
  <c r="S36" i="6"/>
  <c r="S33" i="6"/>
  <c r="Q30" i="6"/>
  <c r="T25" i="6"/>
  <c r="Q24" i="6"/>
  <c r="T19" i="6"/>
  <c r="R18" i="6"/>
  <c r="Q17" i="6"/>
  <c r="R15" i="6"/>
  <c r="T14" i="6"/>
  <c r="R11" i="6"/>
  <c r="T10" i="6"/>
  <c r="R7" i="6"/>
  <c r="T6" i="6"/>
  <c r="R3" i="6"/>
  <c r="T2" i="6"/>
  <c r="B11" i="9"/>
  <c r="L349" i="6"/>
  <c r="M349" i="6" s="1"/>
  <c r="D8" i="13"/>
  <c r="E8" i="13" s="1"/>
  <c r="G8" i="13" s="1"/>
  <c r="B7" i="7"/>
  <c r="C37" i="13"/>
  <c r="L211" i="6"/>
  <c r="M211" i="6" s="1"/>
  <c r="K207" i="6"/>
  <c r="D17" i="13"/>
  <c r="E17" i="13" s="1"/>
  <c r="G17" i="13" s="1"/>
  <c r="K165" i="6"/>
  <c r="J175" i="6"/>
  <c r="B10" i="9" s="1"/>
  <c r="L52" i="6"/>
  <c r="M52" i="6" s="1"/>
  <c r="D26" i="10"/>
  <c r="D24" i="10"/>
  <c r="D22" i="10"/>
  <c r="D20" i="10"/>
  <c r="D18" i="10"/>
  <c r="B8" i="9"/>
  <c r="D6" i="10" s="1"/>
  <c r="D27" i="10"/>
  <c r="D25" i="10"/>
  <c r="D23" i="10"/>
  <c r="D21" i="10"/>
  <c r="D19" i="10"/>
  <c r="B6" i="9"/>
  <c r="B13" i="7"/>
  <c r="B5" i="9"/>
  <c r="B9" i="9"/>
  <c r="L5" i="8"/>
  <c r="D16" i="13"/>
  <c r="E16" i="13" s="1"/>
  <c r="G16" i="13" s="1"/>
  <c r="D18" i="13"/>
  <c r="E18" i="13" s="1"/>
  <c r="G18" i="13" s="1"/>
  <c r="C46" i="13"/>
  <c r="H6" i="1"/>
  <c r="D46" i="13" s="1"/>
  <c r="L283" i="6"/>
  <c r="M283" i="6" s="1"/>
  <c r="L293" i="6"/>
  <c r="M293" i="6" s="1"/>
  <c r="L291" i="6"/>
  <c r="M291" i="6" s="1"/>
  <c r="L263" i="6"/>
  <c r="M263" i="6" s="1"/>
  <c r="K211" i="6"/>
  <c r="K263" i="6"/>
  <c r="L21" i="6"/>
  <c r="M21" i="6" s="1"/>
  <c r="C38" i="13"/>
  <c r="D12" i="13"/>
  <c r="E12" i="13" s="1"/>
  <c r="G12" i="13" s="1"/>
  <c r="L180" i="6"/>
  <c r="M180" i="6" s="1"/>
  <c r="K180" i="6"/>
  <c r="B4" i="7"/>
  <c r="K275" i="6"/>
  <c r="D5" i="13"/>
  <c r="E5" i="13" s="1"/>
  <c r="G5" i="13" s="1"/>
  <c r="H7" i="1"/>
  <c r="K121" i="6"/>
  <c r="B11" i="7" s="1"/>
  <c r="L68" i="6"/>
  <c r="M68" i="6" s="1"/>
  <c r="H5" i="8"/>
  <c r="C36" i="13"/>
  <c r="D7" i="13"/>
  <c r="E7" i="13" s="1"/>
  <c r="G7" i="13" s="1"/>
  <c r="D9" i="13"/>
  <c r="E9" i="13" s="1"/>
  <c r="G9" i="13" s="1"/>
  <c r="B7" i="1"/>
  <c r="L223" i="6"/>
  <c r="M223" i="6" s="1"/>
  <c r="L161" i="6"/>
  <c r="M161" i="6" s="1"/>
  <c r="L352" i="6"/>
  <c r="M352" i="6" s="1"/>
  <c r="M6" i="8"/>
  <c r="E6" i="8"/>
  <c r="D6" i="8"/>
  <c r="B7" i="8"/>
  <c r="J6" i="8"/>
  <c r="P6" i="8"/>
  <c r="O6" i="8"/>
  <c r="G6" i="8"/>
  <c r="N6" i="8"/>
  <c r="F6" i="8"/>
  <c r="K6" i="8"/>
  <c r="L6" i="8" s="1"/>
  <c r="C6" i="8"/>
  <c r="A6" i="8"/>
  <c r="D13" i="13" l="1"/>
  <c r="E13" i="13" s="1"/>
  <c r="G13" i="13" s="1"/>
  <c r="D20" i="13"/>
  <c r="B12" i="7"/>
  <c r="H6" i="8"/>
  <c r="I6" i="8" s="1"/>
  <c r="D23" i="13"/>
  <c r="E23" i="13" s="1"/>
  <c r="G23" i="13" s="1"/>
  <c r="D4" i="10"/>
  <c r="B19" i="7"/>
  <c r="L348" i="6"/>
  <c r="M348" i="6" s="1"/>
  <c r="L336" i="6"/>
  <c r="M336" i="6" s="1"/>
  <c r="L326" i="6"/>
  <c r="M326" i="6" s="1"/>
  <c r="L351" i="6"/>
  <c r="M351" i="6" s="1"/>
  <c r="L328" i="6"/>
  <c r="M328" i="6" s="1"/>
  <c r="L300" i="6"/>
  <c r="M300" i="6" s="1"/>
  <c r="L279" i="6"/>
  <c r="M279" i="6" s="1"/>
  <c r="L318" i="6"/>
  <c r="M318" i="6" s="1"/>
  <c r="L256" i="6"/>
  <c r="M256" i="6" s="1"/>
  <c r="L198" i="6"/>
  <c r="M198" i="6" s="1"/>
  <c r="L365" i="6"/>
  <c r="M365" i="6" s="1"/>
  <c r="L238" i="6"/>
  <c r="M238" i="6" s="1"/>
  <c r="L267" i="6"/>
  <c r="M267" i="6" s="1"/>
  <c r="L274" i="6"/>
  <c r="M274" i="6" s="1"/>
  <c r="L182" i="6"/>
  <c r="M182" i="6" s="1"/>
  <c r="L166" i="6"/>
  <c r="M166" i="6" s="1"/>
  <c r="L197" i="6"/>
  <c r="M197" i="6" s="1"/>
  <c r="L85" i="6"/>
  <c r="M85" i="6" s="1"/>
  <c r="L152" i="6"/>
  <c r="M152" i="6" s="1"/>
  <c r="L77" i="6"/>
  <c r="M77" i="6" s="1"/>
  <c r="L142" i="6"/>
  <c r="M142" i="6" s="1"/>
  <c r="L89" i="6"/>
  <c r="M89" i="6" s="1"/>
  <c r="L53" i="6"/>
  <c r="M53" i="6" s="1"/>
  <c r="L208" i="6"/>
  <c r="M208" i="6" s="1"/>
  <c r="L150" i="6"/>
  <c r="M150" i="6" s="1"/>
  <c r="L164" i="6"/>
  <c r="M164" i="6" s="1"/>
  <c r="L40" i="6"/>
  <c r="M40" i="6" s="1"/>
  <c r="L44" i="6"/>
  <c r="M44" i="6" s="1"/>
  <c r="L4" i="6"/>
  <c r="M4" i="6" s="1"/>
  <c r="L228" i="6"/>
  <c r="M228" i="6" s="1"/>
  <c r="D50" i="1"/>
  <c r="L345" i="6"/>
  <c r="M345" i="6" s="1"/>
  <c r="L324" i="6"/>
  <c r="M324" i="6" s="1"/>
  <c r="L144" i="6"/>
  <c r="M144" i="6" s="1"/>
  <c r="L8" i="6"/>
  <c r="M8" i="6" s="1"/>
  <c r="L294" i="6"/>
  <c r="M294" i="6" s="1"/>
  <c r="L212" i="6"/>
  <c r="M212" i="6" s="1"/>
  <c r="L54" i="6"/>
  <c r="M54" i="6" s="1"/>
  <c r="L128" i="6"/>
  <c r="M128" i="6" s="1"/>
  <c r="L32" i="6"/>
  <c r="M32" i="6" s="1"/>
  <c r="L30" i="6"/>
  <c r="M30" i="6" s="1"/>
  <c r="L16" i="6"/>
  <c r="M16" i="6" s="1"/>
  <c r="L12" i="6"/>
  <c r="M12" i="6" s="1"/>
  <c r="L196" i="6"/>
  <c r="M196" i="6" s="1"/>
  <c r="L104" i="6"/>
  <c r="M104" i="6" s="1"/>
  <c r="L98" i="6"/>
  <c r="M98" i="6" s="1"/>
  <c r="L73" i="6"/>
  <c r="M73" i="6" s="1"/>
  <c r="L6" i="6"/>
  <c r="M6" i="6" s="1"/>
  <c r="L192" i="6"/>
  <c r="M192" i="6" s="1"/>
  <c r="L2" i="6"/>
  <c r="L9" i="6"/>
  <c r="M9" i="6" s="1"/>
  <c r="L100" i="6"/>
  <c r="M100" i="6" s="1"/>
  <c r="L248" i="6"/>
  <c r="M248" i="6" s="1"/>
  <c r="L138" i="6"/>
  <c r="M138" i="6" s="1"/>
  <c r="L50" i="6"/>
  <c r="M50" i="6" s="1"/>
  <c r="L37" i="6"/>
  <c r="M37" i="6" s="1"/>
  <c r="L162" i="6"/>
  <c r="M162" i="6" s="1"/>
  <c r="L95" i="6"/>
  <c r="M95" i="6" s="1"/>
  <c r="L36" i="6"/>
  <c r="M36" i="6" s="1"/>
  <c r="L262" i="6"/>
  <c r="M262" i="6" s="1"/>
  <c r="L83" i="6"/>
  <c r="M83" i="6" s="1"/>
  <c r="L71" i="6"/>
  <c r="M71" i="6" s="1"/>
  <c r="L109" i="6"/>
  <c r="M109" i="6" s="1"/>
  <c r="L172" i="6"/>
  <c r="M172" i="6" s="1"/>
  <c r="L78" i="6"/>
  <c r="M78" i="6" s="1"/>
  <c r="L133" i="6"/>
  <c r="M133" i="6" s="1"/>
  <c r="L204" i="6"/>
  <c r="M204" i="6" s="1"/>
  <c r="L59" i="6"/>
  <c r="M59" i="6" s="1"/>
  <c r="L112" i="6"/>
  <c r="M112" i="6" s="1"/>
  <c r="L145" i="6"/>
  <c r="M145" i="6" s="1"/>
  <c r="L224" i="6"/>
  <c r="M224" i="6" s="1"/>
  <c r="L177" i="6"/>
  <c r="M177" i="6" s="1"/>
  <c r="L231" i="6"/>
  <c r="M231" i="6" s="1"/>
  <c r="L120" i="6"/>
  <c r="M120" i="6" s="1"/>
  <c r="L183" i="6"/>
  <c r="M183" i="6" s="1"/>
  <c r="L307" i="6"/>
  <c r="M307" i="6" s="1"/>
  <c r="L170" i="6"/>
  <c r="M170" i="6" s="1"/>
  <c r="L334" i="6"/>
  <c r="M334" i="6" s="1"/>
  <c r="L167" i="6"/>
  <c r="M167" i="6" s="1"/>
  <c r="L264" i="6"/>
  <c r="M264" i="6" s="1"/>
  <c r="L232" i="6"/>
  <c r="M232" i="6" s="1"/>
  <c r="L265" i="6"/>
  <c r="M265" i="6" s="1"/>
  <c r="L190" i="6"/>
  <c r="M190" i="6" s="1"/>
  <c r="L245" i="6"/>
  <c r="M245" i="6" s="1"/>
  <c r="L354" i="6"/>
  <c r="M354" i="6" s="1"/>
  <c r="L281" i="6"/>
  <c r="M281" i="6" s="1"/>
  <c r="L306" i="6"/>
  <c r="M306" i="6" s="1"/>
  <c r="L304" i="6"/>
  <c r="M304" i="6" s="1"/>
  <c r="L289" i="6"/>
  <c r="M289" i="6" s="1"/>
  <c r="L350" i="6"/>
  <c r="M350" i="6" s="1"/>
  <c r="L158" i="6"/>
  <c r="M158" i="6" s="1"/>
  <c r="L322" i="6"/>
  <c r="M322" i="6" s="1"/>
  <c r="L218" i="6"/>
  <c r="M218" i="6" s="1"/>
  <c r="L258" i="6"/>
  <c r="M258" i="6" s="1"/>
  <c r="L287" i="6"/>
  <c r="M287" i="6" s="1"/>
  <c r="L335" i="6"/>
  <c r="M335" i="6" s="1"/>
  <c r="L353" i="6"/>
  <c r="M353" i="6" s="1"/>
  <c r="L26" i="6"/>
  <c r="M26" i="6" s="1"/>
  <c r="L110" i="6"/>
  <c r="M110" i="6" s="1"/>
  <c r="L102" i="6"/>
  <c r="M102" i="6" s="1"/>
  <c r="L101" i="6"/>
  <c r="M101" i="6" s="1"/>
  <c r="L57" i="6"/>
  <c r="M57" i="6" s="1"/>
  <c r="L178" i="6"/>
  <c r="M178" i="6" s="1"/>
  <c r="L303" i="6"/>
  <c r="M303" i="6" s="1"/>
  <c r="L163" i="6"/>
  <c r="M163" i="6" s="1"/>
  <c r="L171" i="6"/>
  <c r="M171" i="6" s="1"/>
  <c r="L288" i="6"/>
  <c r="M288" i="6" s="1"/>
  <c r="L34" i="6"/>
  <c r="M34" i="6" s="1"/>
  <c r="L14" i="6"/>
  <c r="M14" i="6" s="1"/>
  <c r="L7" i="6"/>
  <c r="M7" i="6" s="1"/>
  <c r="L64" i="6"/>
  <c r="M64" i="6" s="1"/>
  <c r="L84" i="6"/>
  <c r="L51" i="6"/>
  <c r="M51" i="6" s="1"/>
  <c r="L74" i="6"/>
  <c r="M74" i="6" s="1"/>
  <c r="L169" i="6"/>
  <c r="M169" i="6" s="1"/>
  <c r="L19" i="6"/>
  <c r="M19" i="6" s="1"/>
  <c r="L130" i="6"/>
  <c r="M130" i="6" s="1"/>
  <c r="L28" i="6"/>
  <c r="M28" i="6" s="1"/>
  <c r="L27" i="6"/>
  <c r="M27" i="6" s="1"/>
  <c r="L203" i="6"/>
  <c r="M203" i="6" s="1"/>
  <c r="L216" i="6"/>
  <c r="M216" i="6" s="1"/>
  <c r="L42" i="6"/>
  <c r="L153" i="6"/>
  <c r="M153" i="6" s="1"/>
  <c r="L233" i="6"/>
  <c r="M233" i="6" s="1"/>
  <c r="L229" i="6"/>
  <c r="M229" i="6" s="1"/>
  <c r="L308" i="6"/>
  <c r="M308" i="6" s="1"/>
  <c r="L179" i="6"/>
  <c r="M179" i="6" s="1"/>
  <c r="L247" i="6"/>
  <c r="M247" i="6" s="1"/>
  <c r="L126" i="6"/>
  <c r="M126" i="6" s="1"/>
  <c r="L295" i="6"/>
  <c r="M295" i="6" s="1"/>
  <c r="L339" i="6"/>
  <c r="M339" i="6" s="1"/>
  <c r="L210" i="6"/>
  <c r="M210" i="6" s="1"/>
  <c r="L337" i="6"/>
  <c r="M337" i="6" s="1"/>
  <c r="L280" i="6"/>
  <c r="M280" i="6" s="1"/>
  <c r="L333" i="6"/>
  <c r="M333" i="6" s="1"/>
  <c r="L366" i="6"/>
  <c r="M366" i="6" s="1"/>
  <c r="L341" i="6"/>
  <c r="M341" i="6" s="1"/>
  <c r="L286" i="6"/>
  <c r="M286" i="6" s="1"/>
  <c r="L362" i="6"/>
  <c r="M362" i="6" s="1"/>
  <c r="L358" i="6"/>
  <c r="M358" i="6" s="1"/>
  <c r="L69" i="6"/>
  <c r="M69" i="6" s="1"/>
  <c r="L338" i="6"/>
  <c r="M338" i="6" s="1"/>
  <c r="L140" i="6"/>
  <c r="M140" i="6" s="1"/>
  <c r="L96" i="6"/>
  <c r="M96" i="6" s="1"/>
  <c r="L156" i="6"/>
  <c r="M156" i="6" s="1"/>
  <c r="L359" i="6"/>
  <c r="M359" i="6" s="1"/>
  <c r="L312" i="6"/>
  <c r="M312" i="6" s="1"/>
  <c r="L123" i="6"/>
  <c r="M123" i="6" s="1"/>
  <c r="L313" i="6"/>
  <c r="M313" i="6" s="1"/>
  <c r="L93" i="6"/>
  <c r="M93" i="6" s="1"/>
  <c r="L106" i="6"/>
  <c r="M106" i="6" s="1"/>
  <c r="L80" i="6"/>
  <c r="M80" i="6" s="1"/>
  <c r="L148" i="6"/>
  <c r="M148" i="6" s="1"/>
  <c r="L119" i="6"/>
  <c r="M119" i="6" s="1"/>
  <c r="L191" i="6"/>
  <c r="M191" i="6" s="1"/>
  <c r="L20" i="6"/>
  <c r="M20" i="6" s="1"/>
  <c r="L219" i="6"/>
  <c r="M219" i="6" s="1"/>
  <c r="L31" i="6"/>
  <c r="M31" i="6" s="1"/>
  <c r="L125" i="6"/>
  <c r="M125" i="6" s="1"/>
  <c r="L35" i="6"/>
  <c r="M35" i="6" s="1"/>
  <c r="L49" i="6"/>
  <c r="L90" i="6"/>
  <c r="M90" i="6" s="1"/>
  <c r="L132" i="6"/>
  <c r="M132" i="6" s="1"/>
  <c r="L88" i="6"/>
  <c r="M88" i="6" s="1"/>
  <c r="L173" i="6"/>
  <c r="M173" i="6" s="1"/>
  <c r="L87" i="6"/>
  <c r="M87" i="6" s="1"/>
  <c r="L243" i="6"/>
  <c r="M243" i="6" s="1"/>
  <c r="L114" i="6"/>
  <c r="M114" i="6" s="1"/>
  <c r="L189" i="6"/>
  <c r="M189" i="6" s="1"/>
  <c r="L250" i="6"/>
  <c r="M250" i="6" s="1"/>
  <c r="L147" i="6"/>
  <c r="M147" i="6" s="1"/>
  <c r="L127" i="6"/>
  <c r="M127" i="6" s="1"/>
  <c r="L222" i="6"/>
  <c r="M222" i="6" s="1"/>
  <c r="L316" i="6"/>
  <c r="M316" i="6" s="1"/>
  <c r="L237" i="6"/>
  <c r="M237" i="6" s="1"/>
  <c r="L269" i="6"/>
  <c r="M269" i="6" s="1"/>
  <c r="L360" i="6"/>
  <c r="M360" i="6" s="1"/>
  <c r="L215" i="6"/>
  <c r="M215" i="6" s="1"/>
  <c r="L200" i="6"/>
  <c r="M200" i="6" s="1"/>
  <c r="L344" i="6"/>
  <c r="M344" i="6" s="1"/>
  <c r="L357" i="6"/>
  <c r="M357" i="6" s="1"/>
  <c r="L342" i="6"/>
  <c r="M342" i="6" s="1"/>
  <c r="L323" i="6"/>
  <c r="M323" i="6" s="1"/>
  <c r="L272" i="6"/>
  <c r="M272" i="6" s="1"/>
  <c r="L355" i="6"/>
  <c r="M355" i="6" s="1"/>
  <c r="L298" i="6"/>
  <c r="M298" i="6" s="1"/>
  <c r="L320" i="6"/>
  <c r="M320" i="6" s="1"/>
  <c r="L329" i="6"/>
  <c r="M329" i="6" s="1"/>
  <c r="L118" i="6"/>
  <c r="M118" i="6" s="1"/>
  <c r="L141" i="6"/>
  <c r="M141" i="6" s="1"/>
  <c r="L137" i="6"/>
  <c r="M137" i="6" s="1"/>
  <c r="L220" i="6"/>
  <c r="M220" i="6" s="1"/>
  <c r="L314" i="6"/>
  <c r="M314" i="6" s="1"/>
  <c r="L343" i="6"/>
  <c r="M343" i="6" s="1"/>
  <c r="L332" i="6"/>
  <c r="M332" i="6" s="1"/>
  <c r="L11" i="6"/>
  <c r="M11" i="6" s="1"/>
  <c r="L13" i="6"/>
  <c r="M13" i="6" s="1"/>
  <c r="L82" i="6"/>
  <c r="M82" i="6" s="1"/>
  <c r="L129" i="6"/>
  <c r="M129" i="6" s="1"/>
  <c r="L81" i="6"/>
  <c r="M81" i="6" s="1"/>
  <c r="L230" i="6"/>
  <c r="M230" i="6" s="1"/>
  <c r="L41" i="6"/>
  <c r="M41" i="6" s="1"/>
  <c r="L70" i="6"/>
  <c r="M70" i="6" s="1"/>
  <c r="L131" i="6"/>
  <c r="M131" i="6" s="1"/>
  <c r="L18" i="6"/>
  <c r="M18" i="6" s="1"/>
  <c r="L61" i="6"/>
  <c r="M61" i="6" s="1"/>
  <c r="L43" i="6"/>
  <c r="M43" i="6" s="1"/>
  <c r="L143" i="6"/>
  <c r="M143" i="6" s="1"/>
  <c r="L227" i="6"/>
  <c r="M227" i="6" s="1"/>
  <c r="L25" i="6"/>
  <c r="M25" i="6" s="1"/>
  <c r="L252" i="6"/>
  <c r="M252" i="6" s="1"/>
  <c r="L75" i="6"/>
  <c r="M75" i="6" s="1"/>
  <c r="L241" i="6"/>
  <c r="M241" i="6" s="1"/>
  <c r="L103" i="6"/>
  <c r="M103" i="6" s="1"/>
  <c r="L193" i="6"/>
  <c r="M193" i="6" s="1"/>
  <c r="L97" i="6"/>
  <c r="M97" i="6" s="1"/>
  <c r="L181" i="6"/>
  <c r="M181" i="6" s="1"/>
  <c r="L157" i="6"/>
  <c r="M157" i="6" s="1"/>
  <c r="L244" i="6"/>
  <c r="M244" i="6" s="1"/>
  <c r="L159" i="6"/>
  <c r="M159" i="6" s="1"/>
  <c r="L242" i="6"/>
  <c r="M242" i="6" s="1"/>
  <c r="L239" i="6"/>
  <c r="M239" i="6" s="1"/>
  <c r="L246" i="6"/>
  <c r="M246" i="6" s="1"/>
  <c r="L271" i="6"/>
  <c r="M271" i="6" s="1"/>
  <c r="L217" i="6"/>
  <c r="M217" i="6" s="1"/>
  <c r="L278" i="6"/>
  <c r="M278" i="6" s="1"/>
  <c r="L270" i="6"/>
  <c r="M270" i="6" s="1"/>
  <c r="L347" i="6"/>
  <c r="M347" i="6" s="1"/>
  <c r="L297" i="6"/>
  <c r="M297" i="6" s="1"/>
  <c r="L273" i="6"/>
  <c r="M273" i="6" s="1"/>
  <c r="L301" i="6"/>
  <c r="M301" i="6" s="1"/>
  <c r="L330" i="6"/>
  <c r="M330" i="6" s="1"/>
  <c r="L361" i="6"/>
  <c r="M361" i="6" s="1"/>
  <c r="L86" i="6"/>
  <c r="M86" i="6" s="1"/>
  <c r="L92" i="6"/>
  <c r="M92" i="6" s="1"/>
  <c r="L255" i="6"/>
  <c r="M255" i="6" s="1"/>
  <c r="L10" i="6"/>
  <c r="M10" i="6" s="1"/>
  <c r="L254" i="6"/>
  <c r="M254" i="6" s="1"/>
  <c r="L108" i="6"/>
  <c r="M108" i="6" s="1"/>
  <c r="L168" i="6"/>
  <c r="M168" i="6" s="1"/>
  <c r="L65" i="6"/>
  <c r="M65" i="6" s="1"/>
  <c r="L17" i="6"/>
  <c r="M17" i="6" s="1"/>
  <c r="L62" i="6"/>
  <c r="M62" i="6" s="1"/>
  <c r="L151" i="6"/>
  <c r="M151" i="6" s="1"/>
  <c r="L66" i="6"/>
  <c r="M66" i="6" s="1"/>
  <c r="L201" i="6"/>
  <c r="M201" i="6" s="1"/>
  <c r="L305" i="6"/>
  <c r="M305" i="6" s="1"/>
  <c r="L364" i="6"/>
  <c r="M364" i="6" s="1"/>
  <c r="L309" i="6"/>
  <c r="M309" i="6" s="1"/>
  <c r="L346" i="6"/>
  <c r="M346" i="6" s="1"/>
  <c r="L340" i="6"/>
  <c r="M340" i="6" s="1"/>
  <c r="L63" i="6"/>
  <c r="M63" i="6" s="1"/>
  <c r="L67" i="6"/>
  <c r="M67" i="6" s="1"/>
  <c r="L185" i="6"/>
  <c r="M185" i="6" s="1"/>
  <c r="L205" i="6"/>
  <c r="M205" i="6" s="1"/>
  <c r="L310" i="6"/>
  <c r="M310" i="6" s="1"/>
  <c r="L259" i="6"/>
  <c r="M259" i="6" s="1"/>
  <c r="L213" i="6"/>
  <c r="M213" i="6" s="1"/>
  <c r="L209" i="6"/>
  <c r="M209" i="6" s="1"/>
  <c r="L266" i="6"/>
  <c r="M266" i="6" s="1"/>
  <c r="L24" i="6"/>
  <c r="M24" i="6" s="1"/>
  <c r="L15" i="6"/>
  <c r="M15" i="6" s="1"/>
  <c r="L60" i="6"/>
  <c r="M60" i="6" s="1"/>
  <c r="L38" i="6"/>
  <c r="M38" i="6" s="1"/>
  <c r="L134" i="6"/>
  <c r="M134" i="6" s="1"/>
  <c r="L122" i="6"/>
  <c r="M122" i="6" s="1"/>
  <c r="L135" i="6"/>
  <c r="M135" i="6" s="1"/>
  <c r="L29" i="6"/>
  <c r="M29" i="6" s="1"/>
  <c r="L79" i="6"/>
  <c r="M79" i="6" s="1"/>
  <c r="L226" i="6"/>
  <c r="M226" i="6" s="1"/>
  <c r="L99" i="6"/>
  <c r="M99" i="6" s="1"/>
  <c r="L282" i="6"/>
  <c r="M282" i="6" s="1"/>
  <c r="L188" i="6"/>
  <c r="M188" i="6" s="1"/>
  <c r="L33" i="6"/>
  <c r="M33" i="6" s="1"/>
  <c r="L45" i="6"/>
  <c r="M45" i="6" s="1"/>
  <c r="L94" i="6"/>
  <c r="M94" i="6" s="1"/>
  <c r="L261" i="6"/>
  <c r="M261" i="6" s="1"/>
  <c r="L107" i="6"/>
  <c r="M107" i="6" s="1"/>
  <c r="L55" i="6"/>
  <c r="M55" i="6" s="1"/>
  <c r="L251" i="6"/>
  <c r="M251" i="6" s="1"/>
  <c r="L277" i="6"/>
  <c r="M277" i="6" s="1"/>
  <c r="L292" i="6"/>
  <c r="M292" i="6" s="1"/>
  <c r="L284" i="6"/>
  <c r="M284" i="6" s="1"/>
  <c r="L285" i="6"/>
  <c r="M285" i="6" s="1"/>
  <c r="L327" i="6"/>
  <c r="M327" i="6" s="1"/>
  <c r="L363" i="6"/>
  <c r="M363" i="6" s="1"/>
  <c r="L325" i="6"/>
  <c r="M325" i="6" s="1"/>
  <c r="L116" i="6"/>
  <c r="M116" i="6" s="1"/>
  <c r="L3" i="6"/>
  <c r="M3" i="6" s="1"/>
  <c r="L154" i="6"/>
  <c r="M154" i="6" s="1"/>
  <c r="L5" i="6"/>
  <c r="M5" i="6" s="1"/>
  <c r="L160" i="6"/>
  <c r="M160" i="6" s="1"/>
  <c r="L260" i="6"/>
  <c r="M260" i="6" s="1"/>
  <c r="L22" i="6"/>
  <c r="M22" i="6" s="1"/>
  <c r="L48" i="6"/>
  <c r="M48" i="6" s="1"/>
  <c r="L91" i="6"/>
  <c r="M91" i="6" s="1"/>
  <c r="L199" i="6"/>
  <c r="M199" i="6" s="1"/>
  <c r="L58" i="6"/>
  <c r="M58" i="6" s="1"/>
  <c r="L47" i="6"/>
  <c r="M47" i="6" s="1"/>
  <c r="L234" i="6"/>
  <c r="M234" i="6" s="1"/>
  <c r="L146" i="6"/>
  <c r="M146" i="6" s="1"/>
  <c r="L174" i="6"/>
  <c r="M174" i="6" s="1"/>
  <c r="L111" i="6"/>
  <c r="M111" i="6" s="1"/>
  <c r="L187" i="6"/>
  <c r="M187" i="6" s="1"/>
  <c r="L194" i="6"/>
  <c r="M194" i="6" s="1"/>
  <c r="L206" i="6"/>
  <c r="M206" i="6" s="1"/>
  <c r="L236" i="6"/>
  <c r="M236" i="6" s="1"/>
  <c r="L249" i="6"/>
  <c r="M249" i="6" s="1"/>
  <c r="L331" i="6"/>
  <c r="M331" i="6" s="1"/>
  <c r="L214" i="6"/>
  <c r="M214" i="6" s="1"/>
  <c r="L105" i="6"/>
  <c r="M105" i="6" s="1"/>
  <c r="L76" i="6"/>
  <c r="M76" i="6" s="1"/>
  <c r="L184" i="6"/>
  <c r="M184" i="6" s="1"/>
  <c r="L302" i="6"/>
  <c r="M302" i="6" s="1"/>
  <c r="L115" i="6"/>
  <c r="M115" i="6" s="1"/>
  <c r="L195" i="6"/>
  <c r="M195" i="6" s="1"/>
  <c r="L139" i="6"/>
  <c r="M139" i="6" s="1"/>
  <c r="L136" i="6"/>
  <c r="M136" i="6" s="1"/>
  <c r="L290" i="6"/>
  <c r="M290" i="6" s="1"/>
  <c r="L221" i="6"/>
  <c r="M221" i="6" s="1"/>
  <c r="L276" i="6"/>
  <c r="M276" i="6" s="1"/>
  <c r="L124" i="6"/>
  <c r="M124" i="6" s="1"/>
  <c r="L23" i="6"/>
  <c r="M23" i="6" s="1"/>
  <c r="L296" i="6"/>
  <c r="M296" i="6" s="1"/>
  <c r="L356" i="6"/>
  <c r="M356" i="6" s="1"/>
  <c r="L56" i="6"/>
  <c r="M56" i="6" s="1"/>
  <c r="L257" i="6"/>
  <c r="M257" i="6" s="1"/>
  <c r="L117" i="6"/>
  <c r="M117" i="6" s="1"/>
  <c r="L113" i="6"/>
  <c r="M113" i="6" s="1"/>
  <c r="L202" i="6"/>
  <c r="M202" i="6" s="1"/>
  <c r="L240" i="6"/>
  <c r="M240" i="6" s="1"/>
  <c r="L46" i="6"/>
  <c r="M46" i="6" s="1"/>
  <c r="L72" i="6"/>
  <c r="M72" i="6" s="1"/>
  <c r="L186" i="6"/>
  <c r="M186" i="6" s="1"/>
  <c r="L268" i="6"/>
  <c r="M268" i="6" s="1"/>
  <c r="L225" i="6"/>
  <c r="M225" i="6" s="1"/>
  <c r="L321" i="6"/>
  <c r="M321" i="6" s="1"/>
  <c r="L253" i="6"/>
  <c r="M253" i="6" s="1"/>
  <c r="L317" i="6"/>
  <c r="M317" i="6" s="1"/>
  <c r="L299" i="6"/>
  <c r="M299" i="6" s="1"/>
  <c r="L315" i="6"/>
  <c r="M315" i="6" s="1"/>
  <c r="L207" i="6"/>
  <c r="M207" i="6" s="1"/>
  <c r="I5" i="8"/>
  <c r="D6" i="13"/>
  <c r="E6" i="13" s="1"/>
  <c r="G6" i="13" s="1"/>
  <c r="B5" i="12"/>
  <c r="C43" i="13"/>
  <c r="E11" i="11"/>
  <c r="E7" i="11"/>
  <c r="E10" i="11"/>
  <c r="C20" i="13"/>
  <c r="C10" i="13"/>
  <c r="E9" i="11"/>
  <c r="E8" i="11"/>
  <c r="B6" i="1"/>
  <c r="D43" i="13" s="1"/>
  <c r="E43" i="13" s="1"/>
  <c r="G43" i="13" s="1"/>
  <c r="E46" i="13"/>
  <c r="G46" i="13" s="1"/>
  <c r="C47" i="13"/>
  <c r="C41" i="13"/>
  <c r="D19" i="13"/>
  <c r="E19" i="13" s="1"/>
  <c r="G19" i="13" s="1"/>
  <c r="B14" i="7"/>
  <c r="H53" i="1"/>
  <c r="J6" i="1"/>
  <c r="D47" i="13" s="1"/>
  <c r="E47" i="13" s="1"/>
  <c r="G47" i="13" s="1"/>
  <c r="L175" i="6"/>
  <c r="M175" i="6" s="1"/>
  <c r="L149" i="6"/>
  <c r="M149" i="6" s="1"/>
  <c r="D11" i="13"/>
  <c r="E11" i="13" s="1"/>
  <c r="G11" i="13" s="1"/>
  <c r="C45" i="13"/>
  <c r="F6" i="1"/>
  <c r="D45" i="13" s="1"/>
  <c r="E19" i="10"/>
  <c r="C19" i="10"/>
  <c r="B19" i="10"/>
  <c r="C20" i="10"/>
  <c r="B20" i="10"/>
  <c r="E20" i="10"/>
  <c r="L165" i="6"/>
  <c r="M165" i="6" s="1"/>
  <c r="L39" i="6"/>
  <c r="M39" i="6" s="1"/>
  <c r="E21" i="10"/>
  <c r="C21" i="10"/>
  <c r="B21" i="10"/>
  <c r="C22" i="10"/>
  <c r="B22" i="10"/>
  <c r="E22" i="10"/>
  <c r="L121" i="6"/>
  <c r="M121" i="6" s="1"/>
  <c r="B25" i="9"/>
  <c r="B24" i="9"/>
  <c r="D35" i="13" s="1"/>
  <c r="E35" i="13" s="1"/>
  <c r="G35" i="13" s="1"/>
  <c r="B14" i="9"/>
  <c r="L319" i="6"/>
  <c r="M319" i="6" s="1"/>
  <c r="E23" i="10"/>
  <c r="C23" i="10"/>
  <c r="B23" i="10"/>
  <c r="C24" i="10"/>
  <c r="B24" i="10"/>
  <c r="E24" i="10"/>
  <c r="L176" i="6"/>
  <c r="M176" i="6" s="1"/>
  <c r="L155" i="6"/>
  <c r="M155" i="6" s="1"/>
  <c r="E27" i="10"/>
  <c r="C27" i="10"/>
  <c r="B27" i="10"/>
  <c r="C18" i="10"/>
  <c r="B18" i="10"/>
  <c r="E18" i="10"/>
  <c r="M7" i="8"/>
  <c r="E7" i="8"/>
  <c r="D7" i="8"/>
  <c r="B8" i="8"/>
  <c r="J7" i="8"/>
  <c r="P7" i="8"/>
  <c r="O7" i="8"/>
  <c r="G7" i="8"/>
  <c r="N7" i="8"/>
  <c r="F7" i="8"/>
  <c r="C7" i="8"/>
  <c r="A7" i="8"/>
  <c r="K7" i="8"/>
  <c r="L7" i="8" s="1"/>
  <c r="E25" i="10"/>
  <c r="C25" i="10"/>
  <c r="B25" i="10"/>
  <c r="C26" i="10"/>
  <c r="B26" i="10"/>
  <c r="E26" i="10"/>
  <c r="L235" i="6"/>
  <c r="M235" i="6" s="1"/>
  <c r="B18" i="9"/>
  <c r="B16" i="9"/>
  <c r="B23" i="9"/>
  <c r="D34" i="13" s="1"/>
  <c r="E34" i="13" s="1"/>
  <c r="G34" i="13" s="1"/>
  <c r="B15" i="9"/>
  <c r="B19" i="9"/>
  <c r="B20" i="9" s="1"/>
  <c r="B17" i="9"/>
  <c r="L311" i="6"/>
  <c r="M311" i="6" s="1"/>
  <c r="B21" i="9" l="1"/>
  <c r="D32" i="13" s="1"/>
  <c r="E32" i="13" s="1"/>
  <c r="G32" i="13" s="1"/>
  <c r="D31" i="13"/>
  <c r="E31" i="13" s="1"/>
  <c r="G31" i="13" s="1"/>
  <c r="B22" i="9"/>
  <c r="D33" i="13" s="1"/>
  <c r="E33" i="13" s="1"/>
  <c r="G33" i="13" s="1"/>
  <c r="H57" i="1"/>
  <c r="M42" i="6"/>
  <c r="M49" i="6"/>
  <c r="D15" i="13"/>
  <c r="E15" i="13" s="1"/>
  <c r="G15" i="13" s="1"/>
  <c r="C44" i="13"/>
  <c r="D14" i="13"/>
  <c r="E14" i="13" s="1"/>
  <c r="G14" i="13" s="1"/>
  <c r="B6" i="12"/>
  <c r="D6" i="1"/>
  <c r="D44" i="13" s="1"/>
  <c r="H49" i="1"/>
  <c r="E45" i="13"/>
  <c r="G45" i="13" s="1"/>
  <c r="J7" i="1"/>
  <c r="B7" i="12"/>
  <c r="M84" i="6"/>
  <c r="E20" i="13"/>
  <c r="G20" i="13" s="1"/>
  <c r="B7" i="9"/>
  <c r="M2" i="6"/>
  <c r="M8" i="8"/>
  <c r="E8" i="8"/>
  <c r="D8" i="8"/>
  <c r="B9" i="8"/>
  <c r="J8" i="8"/>
  <c r="P8" i="8"/>
  <c r="O8" i="8"/>
  <c r="G8" i="8"/>
  <c r="N8" i="8"/>
  <c r="F8" i="8"/>
  <c r="H8" i="8" s="1"/>
  <c r="I8" i="8" s="1"/>
  <c r="K8" i="8"/>
  <c r="C8" i="8"/>
  <c r="A8" i="8"/>
  <c r="H7" i="8"/>
  <c r="B9" i="12" l="1"/>
  <c r="F11" i="10"/>
  <c r="H10" i="10"/>
  <c r="B9" i="10"/>
  <c r="E11" i="10"/>
  <c r="G10" i="10"/>
  <c r="I9" i="10"/>
  <c r="D11" i="10"/>
  <c r="F10" i="10"/>
  <c r="H9" i="10"/>
  <c r="C11" i="10"/>
  <c r="D54" i="1" s="1"/>
  <c r="E10" i="10"/>
  <c r="G9" i="10"/>
  <c r="B11" i="10"/>
  <c r="D10" i="10"/>
  <c r="F9" i="10"/>
  <c r="I11" i="10"/>
  <c r="C10" i="10"/>
  <c r="D53" i="1" s="1"/>
  <c r="E9" i="10"/>
  <c r="H11" i="10"/>
  <c r="B10" i="10"/>
  <c r="D9" i="10"/>
  <c r="G11" i="10"/>
  <c r="I10" i="10"/>
  <c r="C9" i="10"/>
  <c r="D52" i="1" s="1"/>
  <c r="B18" i="7"/>
  <c r="D5" i="10"/>
  <c r="B8" i="12"/>
  <c r="D24" i="13"/>
  <c r="E24" i="13" s="1"/>
  <c r="G24" i="13" s="1"/>
  <c r="H55" i="1"/>
  <c r="B50" i="1"/>
  <c r="E44" i="13"/>
  <c r="G44" i="13" s="1"/>
  <c r="L8" i="8"/>
  <c r="I7" i="8"/>
  <c r="M9" i="8"/>
  <c r="E9" i="8"/>
  <c r="D9" i="8"/>
  <c r="B10" i="8"/>
  <c r="J9" i="8"/>
  <c r="P9" i="8"/>
  <c r="O9" i="8"/>
  <c r="G9" i="8"/>
  <c r="N9" i="8"/>
  <c r="F9" i="8"/>
  <c r="H9" i="8" s="1"/>
  <c r="I9" i="8" s="1"/>
  <c r="C9" i="8"/>
  <c r="A9" i="8"/>
  <c r="K9" i="8"/>
  <c r="L9" i="8" s="1"/>
  <c r="H45" i="1"/>
  <c r="D27" i="13" l="1"/>
  <c r="E27" i="13" s="1"/>
  <c r="G27" i="13" s="1"/>
  <c r="B53" i="1"/>
  <c r="D25" i="13"/>
  <c r="E25" i="13" s="1"/>
  <c r="G25" i="13" s="1"/>
  <c r="B52" i="1"/>
  <c r="M10" i="8"/>
  <c r="E10" i="8"/>
  <c r="D10" i="8"/>
  <c r="B11" i="8"/>
  <c r="J10" i="8"/>
  <c r="P10" i="8"/>
  <c r="O10" i="8"/>
  <c r="G10" i="8"/>
  <c r="N10" i="8"/>
  <c r="F10" i="8"/>
  <c r="K10" i="8"/>
  <c r="L10" i="8" s="1"/>
  <c r="C10" i="8"/>
  <c r="A10" i="8"/>
  <c r="J9" i="10"/>
  <c r="G52" i="1" s="1"/>
  <c r="D26" i="13"/>
  <c r="E26" i="13" s="1"/>
  <c r="G26" i="13" s="1"/>
  <c r="K9" i="10"/>
  <c r="E52" i="1"/>
  <c r="D29" i="13"/>
  <c r="E29" i="13" s="1"/>
  <c r="G29" i="13" s="1"/>
  <c r="B54" i="1"/>
  <c r="K11" i="10"/>
  <c r="J11" i="10"/>
  <c r="G54" i="1" s="1"/>
  <c r="D30" i="13"/>
  <c r="E30" i="13" s="1"/>
  <c r="G30" i="13" s="1"/>
  <c r="E54" i="1"/>
  <c r="D28" i="13"/>
  <c r="E28" i="13" s="1"/>
  <c r="G28" i="13" s="1"/>
  <c r="K10" i="10"/>
  <c r="J10" i="10"/>
  <c r="G53" i="1" s="1"/>
  <c r="E53" i="1"/>
  <c r="M11" i="8" l="1"/>
  <c r="E11" i="8"/>
  <c r="D11" i="8"/>
  <c r="B12" i="8"/>
  <c r="J11" i="8"/>
  <c r="P11" i="8"/>
  <c r="O11" i="8"/>
  <c r="G11" i="8"/>
  <c r="N11" i="8"/>
  <c r="F11" i="8"/>
  <c r="H11" i="8" s="1"/>
  <c r="I11" i="8" s="1"/>
  <c r="C11" i="8"/>
  <c r="A11" i="8"/>
  <c r="K11" i="8"/>
  <c r="L11" i="8" s="1"/>
  <c r="H10" i="8"/>
  <c r="M12" i="8" l="1"/>
  <c r="E12" i="8"/>
  <c r="D12" i="8"/>
  <c r="B13" i="8"/>
  <c r="J12" i="8"/>
  <c r="P12" i="8"/>
  <c r="O12" i="8"/>
  <c r="G12" i="8"/>
  <c r="N12" i="8"/>
  <c r="F12" i="8"/>
  <c r="K12" i="8"/>
  <c r="L12" i="8" s="1"/>
  <c r="C12" i="8"/>
  <c r="A12" i="8"/>
  <c r="I10" i="8"/>
  <c r="M13" i="8" l="1"/>
  <c r="E13" i="8"/>
  <c r="D13" i="8"/>
  <c r="B14" i="8"/>
  <c r="J13" i="8"/>
  <c r="P13" i="8"/>
  <c r="O13" i="8"/>
  <c r="G13" i="8"/>
  <c r="N13" i="8"/>
  <c r="F13" i="8"/>
  <c r="H13" i="8" s="1"/>
  <c r="I13" i="8" s="1"/>
  <c r="C13" i="8"/>
  <c r="A13" i="8"/>
  <c r="K13" i="8"/>
  <c r="L13" i="8" s="1"/>
  <c r="H12" i="8"/>
  <c r="M14" i="8" l="1"/>
  <c r="E14" i="8"/>
  <c r="D14" i="8"/>
  <c r="B15" i="8"/>
  <c r="J14" i="8"/>
  <c r="P14" i="8"/>
  <c r="O14" i="8"/>
  <c r="G14" i="8"/>
  <c r="N14" i="8"/>
  <c r="F14" i="8"/>
  <c r="K14" i="8"/>
  <c r="L14" i="8" s="1"/>
  <c r="C14" i="8"/>
  <c r="A14" i="8"/>
  <c r="I12" i="8"/>
  <c r="M15" i="8" l="1"/>
  <c r="E15" i="8"/>
  <c r="D15" i="8"/>
  <c r="B16" i="8"/>
  <c r="J15" i="8"/>
  <c r="P15" i="8"/>
  <c r="O15" i="8"/>
  <c r="G15" i="8"/>
  <c r="N15" i="8"/>
  <c r="F15" i="8"/>
  <c r="H15" i="8" s="1"/>
  <c r="I15" i="8" s="1"/>
  <c r="C15" i="8"/>
  <c r="A15" i="8"/>
  <c r="K15" i="8"/>
  <c r="L15" i="8" s="1"/>
  <c r="H14" i="8"/>
  <c r="I14" i="8" s="1"/>
  <c r="M16" i="8" l="1"/>
  <c r="M17" i="8" s="1"/>
  <c r="D41" i="13" s="1"/>
  <c r="E41" i="13" s="1"/>
  <c r="G41" i="13" s="1"/>
  <c r="E16" i="8"/>
  <c r="E17" i="8" s="1"/>
  <c r="D40" i="13" s="1"/>
  <c r="E40" i="13" s="1"/>
  <c r="G40" i="13" s="1"/>
  <c r="D16" i="8"/>
  <c r="D17" i="8" s="1"/>
  <c r="D39" i="13" s="1"/>
  <c r="E39" i="13" s="1"/>
  <c r="G39" i="13" s="1"/>
  <c r="J16" i="8"/>
  <c r="J17" i="8" s="1"/>
  <c r="P16" i="8"/>
  <c r="O16" i="8"/>
  <c r="O17" i="8" s="1"/>
  <c r="G16" i="8"/>
  <c r="G17" i="8" s="1"/>
  <c r="N16" i="8"/>
  <c r="N17" i="8" s="1"/>
  <c r="D42" i="13" s="1"/>
  <c r="E42" i="13" s="1"/>
  <c r="G42" i="13" s="1"/>
  <c r="F16" i="8"/>
  <c r="K16" i="8"/>
  <c r="C16" i="8"/>
  <c r="C17" i="8" s="1"/>
  <c r="A16" i="8"/>
  <c r="D37" i="13" l="1"/>
  <c r="E37" i="13" s="1"/>
  <c r="G37" i="13" s="1"/>
  <c r="L16" i="8"/>
  <c r="K17" i="8"/>
  <c r="D38" i="13" s="1"/>
  <c r="E38" i="13" s="1"/>
  <c r="G38" i="13" s="1"/>
  <c r="H16" i="8"/>
  <c r="F17" i="8"/>
  <c r="D36" i="13" s="1"/>
  <c r="E36" i="13" s="1"/>
  <c r="G36" i="13" s="1"/>
  <c r="L17" i="8" l="1"/>
  <c r="I16" i="8"/>
  <c r="H17" i="8"/>
  <c r="D10" i="13" l="1"/>
  <c r="E10" i="13" s="1"/>
  <c r="G10" i="13" s="1"/>
  <c r="D2" i="13" s="1"/>
  <c r="B70" i="1" s="1"/>
  <c r="I17" i="8"/>
  <c r="B20" i="7"/>
  <c r="B21" i="7"/>
  <c r="H51" i="1" l="1"/>
</calcChain>
</file>

<file path=xl/sharedStrings.xml><?xml version="1.0" encoding="utf-8"?>
<sst xmlns="http://schemas.openxmlformats.org/spreadsheetml/2006/main" count="1343" uniqueCount="462">
  <si>
    <t>Factory Energy Analyser</t>
  </si>
  <si>
    <t>Energy Performance, Renewable Contribution &amp; Savings Opportunities</t>
  </si>
  <si>
    <t>Period: 01-Apr-2025 to 31-Mar-2026</t>
  </si>
  <si>
    <t>TOTAL ENERGY</t>
  </si>
  <si>
    <t>ENERGY INTENSITY</t>
  </si>
  <si>
    <t>SOLAR SHARE</t>
  </si>
  <si>
    <t>PRODUCTION DAYS</t>
  </si>
  <si>
    <t>NON-PRODUCTION ENERGY</t>
  </si>
  <si>
    <t>PEAK DEMAND</t>
  </si>
  <si>
    <t>Production days only</t>
  </si>
  <si>
    <t>Solar ÷ total energy</t>
  </si>
  <si>
    <t>Maximum daily peak</t>
  </si>
  <si>
    <t>Monthly Energy — Grid and Solar (kWh)</t>
  </si>
  <si>
    <t>Production-Day Energy Intensity (kWh per unit)</t>
  </si>
  <si>
    <t>Solar Share of Total Energy (%)</t>
  </si>
  <si>
    <t>Temperature vs Energy — Production Days</t>
  </si>
  <si>
    <t>Solar share = monthly solar kWh ÷ monthly total kWh (grid + solar). Annual share is calculated from annual totals.</t>
  </si>
  <si>
    <t>Potentially Wasteful Days — Statistical Screen</t>
  </si>
  <si>
    <t>Business Insights</t>
  </si>
  <si>
    <t>POTENTIALLY WASTEFUL DAYS</t>
  </si>
  <si>
    <t>THRESHOLD · 95th PERCENTILE, NON-PRODUCTION DAYS</t>
  </si>
  <si>
    <t>Date</t>
  </si>
  <si>
    <t>Day</t>
  </si>
  <si>
    <t>Total energy</t>
  </si>
  <si>
    <t>Above thresh.</t>
  </si>
  <si>
    <t>Statistical screening of non-production days; flag does not confirm operational waste.</t>
  </si>
  <si>
    <t>Illustrative Savings Scenarios</t>
  </si>
  <si>
    <t>Management Action Plan — 30 / 60 / 90 Days</t>
  </si>
  <si>
    <t>Initiative</t>
  </si>
  <si>
    <t>Est. kWh opportunity</t>
  </si>
  <si>
    <t>Illustrative ₹ impact</t>
  </si>
  <si>
    <t>30 DAYS</t>
  </si>
  <si>
    <t>Investigate the three statistically flagged non-production days and establish shutdown/standby checks.</t>
  </si>
  <si>
    <t>60 DAYS</t>
  </si>
  <si>
    <t>Track production-day energy intensity and investigate high-intensity periods.</t>
  </si>
  <si>
    <t>90 DAYS</t>
  </si>
  <si>
    <t>Evaluate solar expansion and cooling/HVAC optimisation opportunities.</t>
  </si>
  <si>
    <t>Estimates use ₹8/kWh and require technical, financial and overlap validation. Illustrative scenarios — not guaranteed and not additive.</t>
  </si>
  <si>
    <t>Actions are recommendations for management review; owners and targets to be agreed.</t>
  </si>
  <si>
    <t>T15  Factory energy analyser</t>
  </si>
  <si>
    <t>Mini project | 30 marks | Build something with free LLM tools</t>
  </si>
  <si>
    <t>Task ID</t>
  </si>
  <si>
    <t>T15</t>
  </si>
  <si>
    <t>Task</t>
  </si>
  <si>
    <t>Factory energy analyser</t>
  </si>
  <si>
    <t>Theme</t>
  </si>
  <si>
    <t>No-code apps &amp; dashboards</t>
  </si>
  <si>
    <t>Suggested free tools</t>
  </si>
  <si>
    <t>Gemini Canvas, ChatGPT Canvas or Claude (free) to generate the app; Excel / Google Sheets to verify numbers</t>
  </si>
  <si>
    <t>What students do</t>
  </si>
  <si>
    <t>1. Build a dashboard of energy use per unit produced, solar share, and temperature effect.
2. Find wasteful days (high kWh on non-production days).
3. Ask the LLM for 5 savings ideas and estimate each one's rupee impact.
4. Present a 1-page energy plan.</t>
  </si>
  <si>
    <t>Deliverables</t>
  </si>
  <si>
    <t>Dashboard; savings table; energy plan; AI-use log</t>
  </si>
  <si>
    <t>Dataset in this file</t>
  </si>
  <si>
    <t>365 days of grid and solar kWh, production and temperature
- 'Daily Energy' sheet: 365 rows x 10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</si>
  <si>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</si>
  <si>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</si>
  <si>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</si>
  <si>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</si>
  <si>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</si>
  <si>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</si>
  <si>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</si>
  <si>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</si>
  <si>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</si>
  <si>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</si>
  <si>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</si>
  <si>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</si>
  <si>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</si>
  <si>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</si>
  <si>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</si>
  <si>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</si>
  <si>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</si>
  <si>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</si>
  <si>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</si>
  <si>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</si>
  <si>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</si>
  <si>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</si>
  <si>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</si>
  <si>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</si>
  <si>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</si>
  <si>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</si>
  <si>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</si>
  <si>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</si>
  <si>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</si>
  <si>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</si>
  <si>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</si>
  <si>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</si>
  <si>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</si>
  <si>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</si>
  <si>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</si>
  <si>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</si>
  <si>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</si>
  <si>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</si>
  <si>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</si>
  <si>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</si>
  <si>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</si>
  <si>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</si>
  <si>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</si>
  <si>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</si>
  <si>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</si>
  <si>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</si>
  <si>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date</t>
  </si>
  <si>
    <t>day</t>
  </si>
  <si>
    <t>production_day</t>
  </si>
  <si>
    <t>units_produced</t>
  </si>
  <si>
    <t>avg_temp_c</t>
  </si>
  <si>
    <t>grid_kwh</t>
  </si>
  <si>
    <t>solar_kwh</t>
  </si>
  <si>
    <t>co2_tonnes_est</t>
  </si>
  <si>
    <t>peak_demand_kw</t>
  </si>
  <si>
    <t>machine_breakdowns</t>
  </si>
  <si>
    <t>Tuesday</t>
  </si>
  <si>
    <t>Yes</t>
  </si>
  <si>
    <t>Wednesday</t>
  </si>
  <si>
    <t>Thursday</t>
  </si>
  <si>
    <t>Friday</t>
  </si>
  <si>
    <t>Saturday</t>
  </si>
  <si>
    <t>Sunday</t>
  </si>
  <si>
    <t>No</t>
  </si>
  <si>
    <t>Monday</t>
  </si>
  <si>
    <t>sheet</t>
  </si>
  <si>
    <t>column</t>
  </si>
  <si>
    <t>data_type</t>
  </si>
  <si>
    <t>example_value</t>
  </si>
  <si>
    <t>non_empty_values</t>
  </si>
  <si>
    <t>distinct_values</t>
  </si>
  <si>
    <t>Daily Energy</t>
  </si>
  <si>
    <t>Date/time</t>
  </si>
  <si>
    <t>2025-04-01</t>
  </si>
  <si>
    <t>Text</t>
  </si>
  <si>
    <t>Whole number</t>
  </si>
  <si>
    <t>1672</t>
  </si>
  <si>
    <t>Decimal number</t>
  </si>
  <si>
    <t>22.9</t>
  </si>
  <si>
    <t>11285.0</t>
  </si>
  <si>
    <t>1824.0</t>
  </si>
  <si>
    <t>8.13</t>
  </si>
  <si>
    <t>384.0</t>
  </si>
  <si>
    <t>1</t>
  </si>
  <si>
    <t>Data Validation</t>
  </si>
  <si>
    <t>Integrity checks on the Daily Energy sheet (raw data unchanged)</t>
  </si>
  <si>
    <t>Check</t>
  </si>
  <si>
    <t>Result</t>
  </si>
  <si>
    <t>Expected</t>
  </si>
  <si>
    <t>Status</t>
  </si>
  <si>
    <t>Note</t>
  </si>
  <si>
    <t>Record count</t>
  </si>
  <si>
    <t>Missing values (all 10 columns)</t>
  </si>
  <si>
    <t>Duplicate dates</t>
  </si>
  <si>
    <t>Rows sharing a date with another row</t>
  </si>
  <si>
    <t>First date</t>
  </si>
  <si>
    <t>Last date</t>
  </si>
  <si>
    <t>Date continuity — days with gap ≠ 1 day</t>
  </si>
  <si>
    <t>Consecutive-date differences</t>
  </si>
  <si>
    <t>Date continuity — span (last − first + 1)</t>
  </si>
  <si>
    <t>Equals record count when continuous</t>
  </si>
  <si>
    <t>Production days</t>
  </si>
  <si>
    <t>Non-production days</t>
  </si>
  <si>
    <t>Invalid production_day values</t>
  </si>
  <si>
    <t>Anything other than Yes / No</t>
  </si>
  <si>
    <t>Negative operational values (D:J)</t>
  </si>
  <si>
    <t>units, temperature, grid, solar, CO₂, peak, breakdowns</t>
  </si>
  <si>
    <t>Units produced on non-production days</t>
  </si>
  <si>
    <t>Non-production days have no output</t>
  </si>
  <si>
    <t>Production days with zero units</t>
  </si>
  <si>
    <t>Overall</t>
  </si>
  <si>
    <t>total_kwh</t>
  </si>
  <si>
    <t>month_start</t>
  </si>
  <si>
    <t>nonprod_kwh</t>
  </si>
  <si>
    <t>prod_kwh</t>
  </si>
  <si>
    <t>wasteful_flag</t>
  </si>
  <si>
    <t>wasteful_seq</t>
  </si>
  <si>
    <t>prod_seq</t>
  </si>
  <si>
    <t>prod_day_#</t>
  </si>
  <si>
    <t>Notes</t>
  </si>
  <si>
    <t>Columns A–N: one row per day, all formulas linked to Daily Energy (raw data is not modified).</t>
  </si>
  <si>
    <t>Columns P–T: production-day-only extract (313 rows) feeding the regression and scatter chart.</t>
  </si>
  <si>
    <t>Block is sized to the 313 production days in this dataset; resize if the data changes.</t>
  </si>
  <si>
    <t>KPI Summary</t>
  </si>
  <si>
    <t>Annual KPIs, 01-Apr-2025 to 31-Mar-2026 — formulas link to Analysis Data</t>
  </si>
  <si>
    <t>KPI</t>
  </si>
  <si>
    <t>Value</t>
  </si>
  <si>
    <t>Unit</t>
  </si>
  <si>
    <t>Definition</t>
  </si>
  <si>
    <t>Total Energy</t>
  </si>
  <si>
    <t>kWh</t>
  </si>
  <si>
    <t>Grid + solar, all 365 days</t>
  </si>
  <si>
    <t>Grid Energy</t>
  </si>
  <si>
    <t>Sum of grid_kwh</t>
  </si>
  <si>
    <t>Solar Energy</t>
  </si>
  <si>
    <t>Sum of solar_kwh</t>
  </si>
  <si>
    <t>Solar Share</t>
  </si>
  <si>
    <t>%</t>
  </si>
  <si>
    <t>Solar ÷ total energy (annual totals)</t>
  </si>
  <si>
    <t>Total Units Produced</t>
  </si>
  <si>
    <t>units</t>
  </si>
  <si>
    <t>All units are produced on production days</t>
  </si>
  <si>
    <t>Production Days</t>
  </si>
  <si>
    <t>days</t>
  </si>
  <si>
    <t>production_day = Yes</t>
  </si>
  <si>
    <t>Non-Production Days</t>
  </si>
  <si>
    <t>production_day = No</t>
  </si>
  <si>
    <t>Production-Day Energy</t>
  </si>
  <si>
    <t>Total energy on production days only</t>
  </si>
  <si>
    <t>Production-Day Energy Intensity</t>
  </si>
  <si>
    <t>kWh/unit</t>
  </si>
  <si>
    <t>Production-day energy ÷ production-day units</t>
  </si>
  <si>
    <t>Non-Production Energy</t>
  </si>
  <si>
    <t>Total energy on non-production days</t>
  </si>
  <si>
    <t>Non-Production Share of Total Energy</t>
  </si>
  <si>
    <t>Non-production energy ÷ total energy</t>
  </si>
  <si>
    <t>Maximum Peak Demand</t>
  </si>
  <si>
    <t>kW</t>
  </si>
  <si>
    <t>Maximum daily peak_demand_kw (never summed)</t>
  </si>
  <si>
    <t>Total Machine Breakdowns</t>
  </si>
  <si>
    <t>count</t>
  </si>
  <si>
    <t>Sum of machine_breakdowns</t>
  </si>
  <si>
    <t>Records</t>
  </si>
  <si>
    <t>Daily rows in the dataset</t>
  </si>
  <si>
    <t>Potentially Wasteful Days</t>
  </si>
  <si>
    <t>Non-production days above the 95th-percentile screen</t>
  </si>
  <si>
    <t>Wasteful-Day Threshold</t>
  </si>
  <si>
    <t>95th percentile of non-production daily kWh</t>
  </si>
  <si>
    <t>Lowest Monthly Solar Share</t>
  </si>
  <si>
    <t>From Monthly Analysis</t>
  </si>
  <si>
    <t>Highest Monthly Solar Share</t>
  </si>
  <si>
    <t>Monthly Analysis</t>
  </si>
  <si>
    <t>Intensity = monthly production-day energy ÷ monthly production-day units (not an average of daily ratios). Peak = monthly maximum.</t>
  </si>
  <si>
    <t>Month</t>
  </si>
  <si>
    <t>Month start</t>
  </si>
  <si>
    <t>Days</t>
  </si>
  <si>
    <t>Grid (kWh)</t>
  </si>
  <si>
    <t>Solar (kWh)</t>
  </si>
  <si>
    <t>Total energy (kWh)</t>
  </si>
  <si>
    <t>Solar share</t>
  </si>
  <si>
    <t>Production-day energy (kWh)</t>
  </si>
  <si>
    <t>Production-day units</t>
  </si>
  <si>
    <t>Intensity (kWh/unit)</t>
  </si>
  <si>
    <t>Non-production energy (kWh)</t>
  </si>
  <si>
    <t>Peak demand (kW)</t>
  </si>
  <si>
    <t>Machine breakdowns</t>
  </si>
  <si>
    <t>Avg temp, production days (°C)</t>
  </si>
  <si>
    <t>Annual</t>
  </si>
  <si>
    <t>Annual row: sums for volumes; intensity and solar share recomputed from totals; peak demand is the maximum of monthly peaks.</t>
  </si>
  <si>
    <t>Analysis Summary</t>
  </si>
  <si>
    <t>Wasteful-day screen and temperature regression — all values calculated by formula from Analysis Data</t>
  </si>
  <si>
    <t>1. Wasteful-day screen (non-production days only)</t>
  </si>
  <si>
    <t>Percentile level</t>
  </si>
  <si>
    <t>Input — 95th percentile of total daily kWh on non-production days</t>
  </si>
  <si>
    <t>Screening threshold (kWh)</t>
  </si>
  <si>
    <t>Agreed methodology: PERCENTILE (inclusive) of non-production-day total kWh</t>
  </si>
  <si>
    <t>Potentially wasteful days</t>
  </si>
  <si>
    <t>Non-production days with total kWh above the threshold. Statistical screen only — not confirmed waste.</t>
  </si>
  <si>
    <t>Non-production avg daily energy (kWh)</t>
  </si>
  <si>
    <t>Non-production median daily energy (kWh)</t>
  </si>
  <si>
    <t>Non-production maximum daily energy (kWh)</t>
  </si>
  <si>
    <t>Production-day avg daily energy (kWh)</t>
  </si>
  <si>
    <t>2. Temperature–energy association (production days, multiple regression)</t>
  </si>
  <si>
    <t>Observations (production days)</t>
  </si>
  <si>
    <t>Model: total daily kWh = intercept + b1 × units produced + b2 × average temperature</t>
  </si>
  <si>
    <t>Temperature coefficient (kWh per °C)</t>
  </si>
  <si>
    <t>Holding units produced constant, +1°C is associated with this change in daily kWh</t>
  </si>
  <si>
    <t>Units-produced coefficient (kWh per unit)</t>
  </si>
  <si>
    <t>Intercept (kWh)</t>
  </si>
  <si>
    <t>Std. error — temperature coefficient</t>
  </si>
  <si>
    <t>Residual degrees of freedom</t>
  </si>
  <si>
    <t>t critical value (95%, two-tailed)</t>
  </si>
  <si>
    <t>95% CI — lower (kWh/°C)</t>
  </si>
  <si>
    <t>95% CI — upper (kWh/°C)</t>
  </si>
  <si>
    <t>R² — multiple regression (units + temperature)</t>
  </si>
  <si>
    <t>The 0.765 R² belongs to this multiple regression only</t>
  </si>
  <si>
    <t>R² — simple temperature-only regression</t>
  </si>
  <si>
    <t>Temperature alone explains little; shown only for transparency. Used for the scatter trendline.</t>
  </si>
  <si>
    <t>Slope — simple temperature-only (kWh per °C)</t>
  </si>
  <si>
    <t>Not the headline coefficient; does not control for units produced</t>
  </si>
  <si>
    <t>3. Interpretation and limitations</t>
  </si>
  <si>
    <t>• Temperature–energy relationship is an ASSOCIATION, not proof of causation.</t>
  </si>
  <si>
    <t>• Wasteful-day flags are a statistical screen of non-production days; they do not establish an operational cause.</t>
  </si>
  <si>
    <t>• Energy intensity = production-day energy ÷ production-day units (not total energy ÷ units, and not an average of daily ratios).</t>
  </si>
  <si>
    <t>• Solar share = solar kWh ÷ total kWh (grid + solar), calculated from totals, not by averaging daily percentages.</t>
  </si>
  <si>
    <t>• Peak demand is a maximum (daily peaks are never summed).</t>
  </si>
  <si>
    <t>• Dataset is synthetic (per Task Brief) — treat as if real for the exercise.</t>
  </si>
  <si>
    <t>Non-production days with total daily energy above the 95th-percentile threshold. The flag does not confirm operational waste.</t>
  </si>
  <si>
    <t>Threshold (kWh)</t>
  </si>
  <si>
    <t>Flagged days</t>
  </si>
  <si>
    <t>Non-production avg (kWh)</t>
  </si>
  <si>
    <t>#</t>
  </si>
  <si>
    <t>Avg temp (°C)</t>
  </si>
  <si>
    <t>kWh above threshold</t>
  </si>
  <si>
    <t>% above non-production avg</t>
  </si>
  <si>
    <t>Method: 95th percentile of total daily kWh across the 52 non-production days; days strictly above the threshold are listed.</t>
  </si>
  <si>
    <t>Interpretation: unusual non-production consumption warranting review (e.g. equipment left running, maintenance, special activity). The data contains no cause field.</t>
  </si>
  <si>
    <t>Context — ten highest non-production days</t>
  </si>
  <si>
    <t>Rank</t>
  </si>
  <si>
    <t>Flagged?</t>
  </si>
  <si>
    <t>Scenario estimates only — not guaranteed savings and not automatically additive (initiatives overlap). Require technical, financial and overlap validation.</t>
  </si>
  <si>
    <t>Illustrative tariff (₹ per kWh)</t>
  </si>
  <si>
    <t>Input (blue) — illustrative tariff supplied in the verified analysis</t>
  </si>
  <si>
    <t>Estimated kWh opportunity</t>
  </si>
  <si>
    <t>% of annual energy</t>
  </si>
  <si>
    <t>Basis / caveat</t>
  </si>
  <si>
    <t>Non-production shutdown / standby reduction</t>
  </si>
  <si>
    <t>Scenario estimate targeting non-production-day energy; needs a shutdown/standby audit.</t>
  </si>
  <si>
    <t>Production efficiency improvement</t>
  </si>
  <si>
    <t>Scenario estimate; needs process-level validation.</t>
  </si>
  <si>
    <t>Solar generation expansion</t>
  </si>
  <si>
    <t>Additional generation / grid-displacement assumption; capex and payback not included.</t>
  </si>
  <si>
    <t>Breakdown-linked controls</t>
  </si>
  <si>
    <t>Hypothetical — the workbook does not measure energy caused by breakdowns.</t>
  </si>
  <si>
    <t>Cooling / HVAC optimisation</t>
  </si>
  <si>
    <t>Scenario estimate — there is no dedicated HVAC energy field in the data.</t>
  </si>
  <si>
    <t>• kWh opportunities are from the verified analysis; ₹ impact = kWh × tariff (formula).</t>
  </si>
  <si>
    <t>• No total row is shown on purpose: initiatives overlap, so the five figures should not be added together.</t>
  </si>
  <si>
    <t>• Estimates require technical, financial and overlap validation before any commitment.</t>
  </si>
  <si>
    <t>Factory Energy Plan</t>
  </si>
  <si>
    <t>One-page plan for factory management · Period 01-Apr-2025 to 31-Mar-2026 · Source: Daily Energy (365 days)</t>
  </si>
  <si>
    <t>1. Situation</t>
  </si>
  <si>
    <t>2. Actions</t>
  </si>
  <si>
    <t>Horizon</t>
  </si>
  <si>
    <t>Focus</t>
  </si>
  <si>
    <t>Action</t>
  </si>
  <si>
    <t>Measure</t>
  </si>
  <si>
    <t>30 days</t>
  </si>
  <si>
    <t>Cause identified for each flagged day; checklist in use</t>
  </si>
  <si>
    <t>60 days</t>
  </si>
  <si>
    <t>Energy intensity</t>
  </si>
  <si>
    <t>Monthly kWh/unit vs the 7.55 annual baseline</t>
  </si>
  <si>
    <t>90 days</t>
  </si>
  <si>
    <t>Solar &amp; cooling</t>
  </si>
  <si>
    <t>Feasibility and payback review completed</t>
  </si>
  <si>
    <t>3. Illustrative savings scenarios (₹8/kWh) — not guaranteed, not additive</t>
  </si>
  <si>
    <t>Estimates require technical, financial and overlap validation. Solar figure is an additional-generation/grid-displacement assumption; breakdown-linked and HVAC figures are hypothetical because the data has no direct measurement for them.</t>
  </si>
  <si>
    <t>4. Limitations</t>
  </si>
  <si>
    <t>• Synthetic dataset. Flagged days are a statistical screen, not confirmed waste. Temperature results are associations. Savings are scenarios, not forecasts. AI-use evidence is documented separately in the AI Use Log.</t>
  </si>
  <si>
    <t>QA Checks</t>
  </si>
  <si>
    <t>Every dashboard KPI reconciled to the underlying data. Expected values (blue) are the verified figures supplied for this assignment.</t>
  </si>
  <si>
    <t>Overall status:</t>
  </si>
  <si>
    <t>Actual</t>
  </si>
  <si>
    <t>Difference</t>
  </si>
  <si>
    <t>Tolerance</t>
  </si>
  <si>
    <t>Records = 365</t>
  </si>
  <si>
    <t>Grid energy (kWh)</t>
  </si>
  <si>
    <t>Solar energy (kWh)</t>
  </si>
  <si>
    <t>Grid + Solar = Total (4,014,871 + 474,768 = 4,489,639)</t>
  </si>
  <si>
    <t>Total energy = sum of monthly totals</t>
  </si>
  <si>
    <t>Monthly reconciliation</t>
  </si>
  <si>
    <t>Solar share (solar ÷ total)</t>
  </si>
  <si>
    <t>Display 10.57%</t>
  </si>
  <si>
    <t>Total units produced</t>
  </si>
  <si>
    <t>Production-day energy intensity (kWh/unit)</t>
  </si>
  <si>
    <t>4,271,630 ÷ 566,026 = 7.55</t>
  </si>
  <si>
    <t>Intensity = 4,271,630 / 566,026 (direct)</t>
  </si>
  <si>
    <t>Independent recomputation</t>
  </si>
  <si>
    <t>Production + non-production days = 365</t>
  </si>
  <si>
    <t>Production-day + non-production energy = total</t>
  </si>
  <si>
    <t>Maximum peak demand (kW)</t>
  </si>
  <si>
    <t>Maximum, never summed</t>
  </si>
  <si>
    <t>Total machine breakdowns</t>
  </si>
  <si>
    <t>Wasteful-day threshold (kWh)</t>
  </si>
  <si>
    <t>95th percentile, non-production days</t>
  </si>
  <si>
    <t>Flagged day 1 — date (11-May-2025)</t>
  </si>
  <si>
    <t>Flagged day 1 — total kWh</t>
  </si>
  <si>
    <t>Flagged day 2 — date (18-May-2025)</t>
  </si>
  <si>
    <t>Flagged day 2 — total kWh</t>
  </si>
  <si>
    <t>Flagged day 3 — date (22-Jun-2025)</t>
  </si>
  <si>
    <t>Flagged day 3 — total kWh</t>
  </si>
  <si>
    <t>Temperature coefficient (kWh/°C), multiple regression</t>
  </si>
  <si>
    <t>Verified ≈ 39.8</t>
  </si>
  <si>
    <t>95% CI lower (kWh/°C)</t>
  </si>
  <si>
    <t>95% CI upper (kWh/°C)</t>
  </si>
  <si>
    <t>Multiple-regression R²</t>
  </si>
  <si>
    <t>Simple temperature-only R²</t>
  </si>
  <si>
    <t>Not the 0.765 figure</t>
  </si>
  <si>
    <t>Monthly grid sums to annual grid</t>
  </si>
  <si>
    <t>Monthly solar sums to annual solar</t>
  </si>
  <si>
    <t>Monthly units sum to annual units</t>
  </si>
  <si>
    <t>Monthly production days sum to 313</t>
  </si>
  <si>
    <t>Monthly non-production days sum to 52</t>
  </si>
  <si>
    <t>Monthly non-production energy sums to annual</t>
  </si>
  <si>
    <t>Maximum of monthly peaks = annual peak</t>
  </si>
  <si>
    <t>Dashboard — Total Energy</t>
  </si>
  <si>
    <t>Dashboard KPI card</t>
  </si>
  <si>
    <t>Dashboard — Energy Intensity</t>
  </si>
  <si>
    <t>Dashboard — Solar Share</t>
  </si>
  <si>
    <t>Dashboard — Production Days</t>
  </si>
  <si>
    <t>Dashboard — Non-Production Energy</t>
  </si>
  <si>
    <t>Dashboard — Peak Demand</t>
  </si>
  <si>
    <t>Savings: non-production shutdown ₹ (130,805.4 × ₹8)</t>
  </si>
  <si>
    <t>Savings: production efficiency ₹</t>
  </si>
  <si>
    <t>Savings: solar expansion ₹</t>
  </si>
  <si>
    <t>Savings: breakdown-linked controls ₹</t>
  </si>
  <si>
    <t>Savings: cooling / HVAC ₹</t>
  </si>
  <si>
    <t>Data Validation sheet — all checks pass</t>
  </si>
  <si>
    <t>AI Use Log - fill one row per prompt (minimum 15). Yellow cells are for you to fill; row 4 is an example.</t>
  </si>
  <si>
    <t>Evidence = shared chat link or screenshot file name. Keep rejected outputs too - they earn marks under 'Prompting and iteration'.</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</si>
  <si>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</si>
  <si>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</si>
  <si>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</si>
  <si>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</si>
  <si>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</si>
  <si>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</si>
  <si>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</si>
  <si>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</si>
  <si>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</si>
  <si>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</si>
  <si>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</si>
  <si>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'Factory energy analyser', list the first 3 steps to build it and what could go wrong.</t>
  </si>
  <si>
    <t>Clear steps, but assumed a column that does not exist</t>
  </si>
  <si>
    <t>Told it the exact column names and asked it to recheck</t>
  </si>
  <si>
    <t>Rejected</t>
  </si>
  <si>
    <t>screenshot_01.png</t>
  </si>
  <si>
    <t>ChatGPT</t>
  </si>
  <si>
    <t>GPT-5.6 Luna — Instant</t>
  </si>
  <si>
    <t>None</t>
  </si>
  <si>
    <t>You are a business data analyst. Inspect the attached Factory Energy Analyser dataset. Identify the available sheets, columns, data types, date range, number of records, missing values, duplicate dates, and any obvious data-quality issues. Do not invent or assume values. Report only what can be verified from the supplied workbook.</t>
  </si>
  <si>
    <t>Using only the supplied Factory Energy Analyser data, define the correct calculation method for total energy, production-day energy intensity in kWh/unit, solar share, non-production energy, and peak demand. Pay particular attention to the distinction between production-day energy intensity and total-energy-per-unit. For each KPI, provide the formula, the correct denominator or population, and explain why that method is appropriate for this dataset. Do not invent values or assumptions that are not present in the workbook.</t>
  </si>
  <si>
    <t>Using only the supplied Factory Energy Analyser workbook, analyse the non-production days (production_day = "No"). Calculate the daily total energy as grid_kwh + solar_kwh, identify the highest-energy non-production days, describe the distribution of non-production energy, and propose a transparent statistical rule for flagging potentially wasteful days. Do not invent a business threshold. If you propose a percentile-based threshold, calculate it from the supplied data and clearly distinguish the statistical screening rule from confirmed operational waste. Report the exact threshold, number of flagged days, and the flagged dates and energy values.</t>
  </si>
  <si>
    <t>Using only the supplied Factory Energy Analyser workbook, analyse whether average temperature is associated with energy consumption. Restrict the primary analysis to production days and use the available units_produced, avg_temp_c, and energy fields. Perform an appropriate quantitative analysis, such as correlation and/or multiple linear regression, that separates the effect of production volume from temperature as far as this dataset allows. Report the coefficients, R² or other relevant statistics, and explain the practical meaning in plain business language. Clearly distinguish association from causation and do not invent missing variables or causal explanations.</t>
  </si>
  <si>
    <t>Using only the supplied Factory Energy Analyser workbook, create and verify a monthly energy-performance analysis for April 2025 through March 2026. For each month calculate: total energy (grid + solar), total units produced, production-day energy intensity using only production-day energy divided by production-day units, grid energy, solar energy, solar share, average temperature, production days, non-production days, non-production energy, maximum peak demand, and total machine breakdowns. Then identify any months or calculations that should be checked for consistency. Do not invent values or use external data. Clearly state the aggregation method used for each metric.</t>
  </si>
  <si>
    <t>Using only the supplied Factory Energy Analyser workbook and the project requirements, review the following five proposed energy-saving scenarios: (1) non-production shutdown/standby reduction, (2) production efficiency improvement, (3) solar generation expansion, (4) breakdown-linked controls, and (5) cooling/HVAC optimisation. For each scenario, identify the relevant dataset baseline, explain what percentage or quantity would need to be assumed to estimate savings, calculate the resulting kWh opportunity if the stated assumptions are: 60% of non-production energy, 3% of production-day energy, 20% of current solar generation, 1% of production-day energy, and 7,789 kWh respectively. Use ₹8/kWh only as an explicitly labelled illustrative tariff assumption. Clearly distinguish data-derived baselines from hypothetical assumptions, and warn about overlap/double-counting and the need for operational validation. Do not present these figures as guaranteed savings.</t>
  </si>
  <si>
    <t>Using the supplied Factory Energy Analyser workbook and the project brief, design a practical one-page dashboard layout for a factory energy analyst. The dashboard must clearly communicate: total energy use, production-day energy intensity (kWh/unit), solar share, non-production energy, peak demand, monthly energy trend, monthly energy intensity, solar share trend, temperature relationship, and potentially wasteful non-production days. Recommend specific Excel chart types, KPI cards, tables, filters/slicers if appropriate, and a logical page layout. Keep it realistic for an Excel dashboard and avoid unnecessary visual elements. Do not invent additional data or KPIs.</t>
  </si>
  <si>
    <t>Review the dashboard design you just proposed against the Factory Energy Analyser project brief and the rubric. Identify weaknesses or risks in the proposed dashboard, especially around numerical correctness, clarity, visual overload, unsupported claims, and whether the dashboard actually helps management identify energy-saving opportunities. Then propose a revised dashboard layout with only necessary changes. Explicitly list what you would keep, what you would change, and why. Do not invent new data or KPIs.</t>
  </si>
  <si>
    <t>Take the revised Factory Energy Analyser dashboard design from the previous response and perform a numerical QA review using only the supplied workbook. Check every KPI, chart metric, waste-screening figure, and temperature-analysis figure that the dashboard would display. List the exact expected values/formulas for each item and identify any remaining inconsistencies, misleading labels, rounding issues, population/denominator errors, or unsupported claims. Pay special attention to the 7.55 kWh/unit intensity, 10.57% solar share, 218,009 kWh non-production energy, 520 kW peak demand, 4,687.7 kWh waste-screen threshold, 3 flagged days, and the temperature regression. Do not invent or correct values without explaining the calculation from the workbook.</t>
  </si>
  <si>
    <t>Review the revised Factory Energy Analyser dashboard after the numerical QA fixes. Perform a final business-usability review against the project brief and rubric. Focus on whether a factory manager can understand the main energy situation, identify where investigation is needed, and connect the dashboard to the separate savings table and energy plan. Check the wording of KPI titles, temperature interpretation, waste-day labels, and verification notes for clarity and unsupported claims. Propose only necessary final changes. Do not add new KPIs or invent data. Explicitly state what changed from Improvement Round 2 and why.</t>
  </si>
  <si>
    <t>Using only the supplied Factory Energy Analyser workbook, the project brief, and the analysis already established in this conversation, review the proposed 1-page Energy Plan. Check whether its objectives, priorities, 30/60/90-day actions, KPIs, and financial assumptions are directly supported by the data and clearly distinguish measured findings from hypothetical savings assumptions. Identify any unsupported claims, missing actions, unclear KPIs, or wording that should be changed. Do not invent new data. Provide specific edits rather than redesigning the entire plan.</t>
  </si>
  <si>
    <t>Using only the supplied Factory Energy Analyser workbook, the project brief, and the analysis already established in this conversation, audit the proposed Savings Table.
Check each of the five savings scenarios for:
1. Whether the baseline quantity used is correct.
2. Whether the arithmetic is correct.
3. Whether the assumption is clearly labelled as hypothetical/illustrative rather than measured.
4. Whether the ₹8/kWh tariff assumption is clearly disclosed.
5. Whether any scenario could overlap with another and therefore should not be added together as guaranteed savings.
6. Whether any scenario is based on information that the workbook does not actually measure.
Verify these scenarios individually:
- Non-production reduction: 60% of non-production energy.
- Production efficiency: 3% reduction in production-day energy.
- Solar expansion: 20% increase in current solar generation.
- Breakdown-linked opportunity: 1% of production-day energy.
- Cooling/HVAC: 7,789 kWh illustrative scenario.
For each scenario, provide:
- measured baseline used
- assumption
- calculated kWh opportunity
- calculated ₹ opportunity using ₹8/kWh
- whether the calculation is correct
- wording that should be used in the final workbook
- any limitation or caution that must be stated
**Do not invent new data or new savings assumptions. Do not redesign the table. The goal is numerical and methodological QA of the existing Savings Table.**
At the end, provide a short list of the exact changes I should make to the workbook, if any.</t>
  </si>
  <si>
    <t>Using only the supplied Factory Energy Analyser workbook, project brief, and analysis already established in this conversation, perform a final QA audit of the dashboard KPI definitions and headline numbers.
Verify the following:
- Total energy = Grid + Solar
- Production-day energy intensity = production-day energy ÷ production-day units
- Annual solar share = total solar ÷ total energy
- Non-production energy = energy on production_day = No
- Peak demand = maximum daily peak demand
- Production days + non-production days = 365
- Monthly totals reconcile to the annual totals
- The 95th-percentile non-production screening threshold is 4,687.7 kWh
- The statistical screening identifies 3 flagged days
Also check that the dashboard wording does not accidentally imply:
- total energy divided by total units is the production efficiency KPI
- temperature causes higher energy use
- the simple temperature trendline R² is the same as the multiple-regression model R²
- flagged non-production days are confirmed operational waste
For every item, state **PASS/FAIL**, give the verified value where applicable, and identify any correction needed.
Do not invent data and do not redesign the dashboard. This is a numerical and wording QA audit only.</t>
  </si>
  <si>
    <t>Using only the supplied Factory Energy Analyser workbook, project brief, and analysis already established in this conversation, review the proposed Wasteful Days analysis and methodology.
Verify:
- The non-production-day population contains 52 days.
- The 95th-percentile threshold is 4,687.7 kWh using the established `PERCENTILE.INC` / linear-interpolation methodology.
- Exactly 3 days are above the threshold.
- The three flagged dates and their energy values are correct.
- The ranking of non-production days by total energy is calculated correctly.
Then assess whether the methodology is appropriate for a business dashboard and whether the wording clearly distinguishes:
- measured energy consumption
- statistical screening
- confirmed operational waste
Check whether any claim in the Wasteful Days analysis is stronger than what the workbook supports.
Recommend only specific wording or methodological corrections if needed.
**Do not invent additional data, thresholds, causes, or savings. Do not redesign the dashboard. This is a QA review of the existing waste-screening analysis.**</t>
  </si>
  <si>
    <t>Using only the supplied Factory Energy Analyser workbook, project brief, and analysis established in this conversation, perform a final end-to-end audit of the entire project before submission.
Review the following components:
1. Dashboard
2. KPI Summary
3. Monthly Analysis
4. Analysis Summary
5. Wasteful Days / statistical screening
6. Savings Table
7. Energy Plan
8. Data Validation
9. QA Checks
Check the project against the assignment requirements and rubric:
- Working dashboard/app
- Numerical correctness and verification
- At least 3 documented improvement rounds
- Data-backed business insights
- Savings table with assumptions clearly separated from measured data
- 1-page Energy Plan
- AI Use Log with at least 15 genuine interactions
- Limitations and responsible-AI considerations
- 3–5 page report requirements
Verify that the following final methodology is used consistently:
- Production-day energy intensity = production-day energy ÷ production-day units
- Annual solar share = total solar ÷ total energy
- Peak demand = maximum daily peak demand
- Non-production energy = energy on production_day = No
- Waste screening uses the 95th percentile of the 52 non-production-day energy observations
- Threshold = 4,687.7 kWh using `PERCENTILE.INC` / linear interpolation
- Exactly 3 days are flagged
- Flagged days are statistical investigation flags, not confirmed operational waste
- Temperature findings are described as association, not causation
- Simple temperature-only R² ≈ 0.072 is kept distinct from multiple-regression R² = 0.765
For each component, give:
- PASS / NEEDS EDIT
- specific issue, if any
- exact correction required
Do not redesign the project and do not invent missing data. Focus on final submission readiness and identify only changes that are actually necessary.</t>
  </si>
  <si>
    <t>Identified the workbook structure, 365 daily records, date range, missing values, duplicate dates and key data-quality checks correctly.</t>
  </si>
  <si>
    <t>Established clear KPI definitions and prevented using total annual energy divided by total units as the production intensity KPI.</t>
  </si>
  <si>
    <t>Identified a statistical approach for screening high-energy non-production days and clarified that a flag does not prove operational waste.</t>
  </si>
  <si>
    <t>Provided correlation and regression analysis and correctly distinguished association from causation.</t>
  </si>
  <si>
    <t>Validated the monthly calculations and confirmed that monthly results reconcile to the annual totals.</t>
  </si>
  <si>
    <t>Generated five quantified savings scenarios and clearly identified the assumptions behind the estimates.</t>
  </si>
  <si>
    <t>Proposed a practical dashboard structure with KPI cards, monthly trends, temperature analysis and non-production-day details.</t>
  </si>
  <si>
    <t>Helped identify areas needing stronger verification and clearer statistical wording in the dashboard.</t>
  </si>
  <si>
    <t>Clarified the production intensity calculation and separated the simple temperature-only R² from the multiple-regression R².</t>
  </si>
  <si>
    <t>Improved business usability by reducing dashboard overload and keeping detailed savings scenarios separate from the main dashboard.</t>
  </si>
  <si>
    <t>Reviewed the Energy Plan and helped ensure recommendations were framed as actions to investigate and validate rather than guaranteed savings.</t>
  </si>
  <si>
    <t>Checked the savings arithmetic and highlighted important safeguards around tariff assumptions, overlapping savings and unsupported HVAC estimates.</t>
  </si>
  <si>
    <t>Reconfirmed the final headline KPI values and their calculation methodology before submission.</t>
  </si>
  <si>
    <t>Confirmed the final 95th-percentile waste-screening method, threshold and three flagged non-production days.</t>
  </si>
  <si>
    <t>Performed an end-to-end QA review and confirmed the analytical sections were ready, while identifying the AI Use Log as the remaining documentation gap.</t>
  </si>
  <si>
    <t>Created a Data Validation sheet and structured the analysis data so the workbook could be checked systematically.</t>
  </si>
  <si>
    <t>Applied the agreed KPI definitions in the Analysis Data and KPI Summary sheets.</t>
  </si>
  <si>
    <t>Changed the waste screen to the 95th percentile and updated the threshold and flagged dates accordingly.</t>
  </si>
  <si>
    <t>Used the multiple-regression temperature coefficient and careful association wording instead of implying causation.</t>
  </si>
  <si>
    <t>Used ratio-of-sums for monthly production intensity and consistent formulas for monthly solar share and other KPIs.</t>
  </si>
  <si>
    <t>Added the five scenarios to the Savings Table and labelled them as illustrative rather than guaranteed savings.</t>
  </si>
  <si>
    <t>Built and refined the Dashboard around the main energy, production, solar and temperature measures.</t>
  </si>
  <si>
    <t>Retained verification notes and statistical wording so the dashboard would not overstate the findings.</t>
  </si>
  <si>
    <t>Separated the simple temperature R² from the multiple-regression R² and standardised the KPI calculations.</t>
  </si>
  <si>
    <t>Focused the dashboard on measurement and diagnosis while keeping detailed savings scenarios in a separate sheet.</t>
  </si>
  <si>
    <t>Updated the Energy Plan to recommend investigation and validation before treating savings as achieved.</t>
  </si>
  <si>
    <t>Added safeguards for the ₹8/kWh assumption, overlapping savings, and the scenario-based HVAC estimate.</t>
  </si>
  <si>
    <t>Rechecked the final dashboard KPI values and ensured the headline numbers matched the underlying analysis.</t>
  </si>
  <si>
    <t>Standardised the waste rule using the 95th percentile with PERCENTILE.INC and updated the wasteful-days sheet.</t>
  </si>
  <si>
    <t>Used the final QA review as the submission checklist and identified the AI Use Log as the remaining documentation task.</t>
  </si>
  <si>
    <t>Kept</t>
  </si>
  <si>
    <t>Partly kept</t>
  </si>
  <si>
    <t>AI Prompt – ChatGPT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</si>
</sst>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quot; kWh&quot;"/>
    <numFmt numFmtId="165" formatCode="0.00&quot; kWh/unit&quot;"/>
    <numFmt numFmtId="166" formatCode="#,##0&quot; kW&quot;"/>
    <numFmt numFmtId="167" formatCode="#,##0.0&quot; kWh&quot;"/>
    <numFmt numFmtId="168" formatCode="dd\-mmm\-yyyy"/>
    <numFmt numFmtId="169" formatCode="\+#,##0&quot; kWh&quot;"/>
    <numFmt numFmtId="170" formatCode="\₹#,##0"/>
    <numFmt numFmtId="171" formatCode="0.0%"/>
    <numFmt numFmtId="172" formatCode="yyyy\-mm\-dd"/>
    <numFmt numFmtId="173" formatCode="0.0"/>
    <numFmt numFmtId="174" formatCode="mmm\-yy"/>
    <numFmt numFmtId="175" formatCode="#,##0.0"/>
    <numFmt numFmtId="176" formatCode="0.000"/>
    <numFmt numFmtId="177" formatCode="0.0000"/>
    <numFmt numFmtId="178" formatCode="\₹0.00"/>
    <numFmt numFmtId="179" formatCode="\₹#,##0.00"/>
    <numFmt numFmtId="180" formatCode="0.0000;\-0.0000;0"/>
    <numFmt numFmtId="181" formatCode="0.0000%"/>
  </numFmts>
  <fonts count="38" x14ac:knownFonts="1">
    <font>
      <sz val="10"/>
      <name val="Arial"/>
      <charset val="1"/>
    </font>
    <font>
      <b/>
      <sz val="22"/>
      <color rgb="FFFFFFFF"/>
      <name val="Arial"/>
      <charset val="1"/>
    </font>
    <font>
      <sz val="11"/>
      <color rgb="FFDCE6E9"/>
      <name val="Arial"/>
      <charset val="1"/>
    </font>
    <font>
      <b/>
      <sz val="10"/>
      <color rgb="FFE8A33D"/>
      <name val="Arial"/>
      <charset val="1"/>
    </font>
    <font>
      <b/>
      <sz val="8"/>
      <color rgb="FF6B7C85"/>
      <name val="Arial"/>
      <charset val="1"/>
    </font>
    <font>
      <b/>
      <sz val="16"/>
      <color rgb="FF1F4E5A"/>
      <name val="Arial"/>
      <charset val="1"/>
    </font>
    <font>
      <sz val="8"/>
      <color rgb="FF6B7C85"/>
      <name val="Arial"/>
      <charset val="1"/>
    </font>
    <font>
      <b/>
      <sz val="10"/>
      <color rgb="FF1F4E5A"/>
      <name val="Arial"/>
      <charset val="1"/>
    </font>
    <font>
      <i/>
      <sz val="8"/>
      <color rgb="FF6B7C85"/>
      <name val="Arial"/>
      <charset val="1"/>
    </font>
    <font>
      <b/>
      <sz val="8"/>
      <color rgb="FF1F4E5A"/>
      <name val="Arial"/>
      <charset val="1"/>
    </font>
    <font>
      <b/>
      <sz val="10"/>
      <color rgb="FFB5483A"/>
      <name val="Arial"/>
      <charset val="1"/>
    </font>
    <font>
      <sz val="9.5"/>
      <color rgb="FF1E2B30"/>
      <name val="Arial"/>
      <charset val="1"/>
    </font>
    <font>
      <b/>
      <sz val="18"/>
      <color rgb="FFB5483A"/>
      <name val="Arial"/>
      <charset val="1"/>
    </font>
    <font>
      <b/>
      <sz val="18"/>
      <color rgb="FF1F4E5A"/>
      <name val="Arial"/>
      <charset val="1"/>
    </font>
    <font>
      <b/>
      <sz val="9"/>
      <color rgb="FFFFFFFF"/>
      <name val="Arial"/>
      <charset val="1"/>
    </font>
    <font>
      <b/>
      <sz val="10"/>
      <color rgb="FF1E2B30"/>
      <name val="Arial"/>
      <charset val="1"/>
    </font>
    <font>
      <sz val="10"/>
      <color rgb="FF1E2B30"/>
      <name val="Arial"/>
      <charset val="1"/>
    </font>
    <font>
      <i/>
      <sz val="9"/>
      <color rgb="FF6B7C85"/>
      <name val="Arial"/>
      <charset val="1"/>
    </font>
    <font>
      <b/>
      <sz val="10"/>
      <color rgb="FFFFFFFF"/>
      <name val="Arial"/>
      <charset val="1"/>
    </font>
    <font>
      <b/>
      <sz val="9.5"/>
      <color rgb="FF1E2B30"/>
      <name val="Arial"/>
      <charset val="1"/>
    </font>
    <font>
      <i/>
      <sz val="8.5"/>
      <color rgb="FF6B7C85"/>
      <name val="Arial"/>
      <charset val="1"/>
    </font>
    <font>
      <b/>
      <sz val="14"/>
      <color rgb="FF1F4E5A"/>
      <name val="Arial"/>
      <charset val="1"/>
    </font>
    <font>
      <i/>
      <sz val="10"/>
      <color rgb="FF555555"/>
      <name val="Arial"/>
      <charset val="1"/>
    </font>
    <font>
      <b/>
      <sz val="10"/>
      <name val="Arial"/>
      <charset val="1"/>
    </font>
    <font>
      <b/>
      <sz val="12"/>
      <color rgb="FF1F4E5A"/>
      <name val="Arial"/>
      <charset val="1"/>
    </font>
    <font>
      <sz val="11"/>
      <color theme="1"/>
      <name val="Calibri"/>
      <family val="2"/>
      <charset val="1"/>
    </font>
    <font>
      <b/>
      <sz val="15"/>
      <color rgb="FF1F4E5A"/>
      <name val="Arial"/>
      <charset val="1"/>
    </font>
    <font>
      <sz val="10"/>
      <color rgb="FF0000FF"/>
      <name val="Arial"/>
      <charset val="1"/>
    </font>
    <font>
      <b/>
      <sz val="11"/>
      <color rgb="FF1F4E5A"/>
      <name val="Arial"/>
      <charset val="1"/>
    </font>
    <font>
      <sz val="9"/>
      <color rgb="FF1E2B30"/>
      <name val="Arial"/>
      <charset val="1"/>
    </font>
    <font>
      <sz val="9"/>
      <color rgb="FF0000FF"/>
      <name val="Arial"/>
      <charset val="1"/>
    </font>
    <font>
      <sz val="10"/>
      <color rgb="FF6B7C85"/>
      <name val="Arial"/>
      <charset val="1"/>
    </font>
    <font>
      <b/>
      <sz val="10"/>
      <color rgb="FF0000FF"/>
      <name val="Arial"/>
      <charset val="1"/>
    </font>
    <font>
      <b/>
      <sz val="11"/>
      <color rgb="FF0000FF"/>
      <name val="Arial"/>
      <charset val="1"/>
    </font>
    <font>
      <i/>
      <sz val="9"/>
      <color rgb="FF555555"/>
      <name val="Arial"/>
      <charset val="1"/>
    </font>
    <font>
      <i/>
      <sz val="10"/>
      <color rgb="FF666666"/>
      <name val="Arial"/>
      <charset val="1"/>
    </font>
    <font>
      <sz val="11"/>
      <color theme="1"/>
      <name val="Calibri"/>
      <family val="2"/>
    </font>
    <font>
      <u/>
      <sz val="10"/>
      <color theme="10"/>
      <name val="Arial"/>
      <charset val="1"/>
    </font>
  </fonts>
  <fills count="9">
    <fill>
      <patternFill patternType="none"/>
    </fill>
    <fill>
      <patternFill patternType="gray125"/>
    </fill>
    <fill>
      <patternFill patternType="solid">
        <fgColor rgb="FF1F4E5A"/>
        <bgColor rgb="FF555555"/>
      </patternFill>
    </fill>
    <fill>
      <patternFill patternType="solid">
        <fgColor rgb="FFF3F6F7"/>
        <bgColor rgb="FFE8F1F2"/>
      </patternFill>
    </fill>
    <fill>
      <patternFill patternType="solid">
        <fgColor rgb="FFE8F1F2"/>
        <bgColor rgb="FFF3F6F7"/>
      </patternFill>
    </fill>
    <fill>
      <patternFill patternType="solid">
        <fgColor rgb="FF6B7C85"/>
        <bgColor rgb="FF666666"/>
      </patternFill>
    </fill>
    <fill>
      <patternFill patternType="solid">
        <fgColor rgb="FFFFF8E1"/>
        <bgColor rgb="FFFFF2CC"/>
      </patternFill>
    </fill>
    <fill>
      <patternFill patternType="solid">
        <fgColor rgb="FFFFF2CC"/>
        <bgColor rgb="FFFFF8E1"/>
      </patternFill>
    </fill>
    <fill>
      <patternFill patternType="solid">
        <fgColor rgb="FFFFF2CC"/>
        <bgColor indexed="64"/>
      </patternFill>
    </fill>
  </fills>
  <borders count="9">
    <border>
      <left/>
      <right/>
      <top/>
      <bottom/>
      <diagonal/>
    </border>
    <border>
      <left style="thin">
        <color rgb="FFFFFFFF"/>
      </left>
      <right style="thin">
        <color rgb="FFFFFFFF"/>
      </right>
      <top style="medium">
        <color rgb="FF1F4E5A"/>
      </top>
      <bottom/>
      <diagonal/>
    </border>
    <border>
      <left style="thin">
        <color rgb="FFFFFFFF"/>
      </left>
      <right style="thin">
        <color rgb="FFFFFFFF"/>
      </right>
      <top/>
      <bottom/>
      <diagonal/>
    </border>
    <border>
      <left/>
      <right/>
      <top/>
      <bottom style="medium">
        <color rgb="FF1F4E5A"/>
      </bottom>
      <diagonal/>
    </border>
    <border>
      <left/>
      <right/>
      <top/>
      <bottom style="medium">
        <color rgb="FFB5483A"/>
      </bottom>
      <diagonal/>
    </border>
    <border>
      <left/>
      <right/>
      <top/>
      <bottom style="thin">
        <color rgb="FFD5DDE0"/>
      </bottom>
      <diagonal/>
    </border>
    <border>
      <left style="thin">
        <color rgb="FFC9D3D6"/>
      </left>
      <right style="thin">
        <color rgb="FFC9D3D6"/>
      </right>
      <top style="thin">
        <color rgb="FFC9D3D6"/>
      </top>
      <bottom style="thin">
        <color rgb="FFC9D3D6"/>
      </bottom>
      <diagonal/>
    </border>
    <border>
      <left style="thin">
        <color rgb="FFD5DDE0"/>
      </left>
      <right style="thin">
        <color rgb="FFD5DDE0"/>
      </right>
      <top style="thin">
        <color rgb="FFD5DDE0"/>
      </top>
      <bottom style="thin">
        <color rgb="FFD5DD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7" fillId="0" borderId="0" applyNumberFormat="0" applyFill="0" applyBorder="0" applyAlignment="0" applyProtection="0"/>
  </cellStyleXfs>
  <cellXfs count="136">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xf numFmtId="0" fontId="14" fillId="2" borderId="0" xfId="0" applyFont="1" applyFill="1" applyAlignment="1">
      <alignment horizontal="center"/>
    </xf>
    <xf numFmtId="0" fontId="16" fillId="0" borderId="5" xfId="0" applyFont="1" applyBorder="1" applyAlignment="1">
      <alignment horizontal="center" vertical="center"/>
    </xf>
    <xf numFmtId="169" fontId="16" fillId="0" borderId="5" xfId="0" applyNumberFormat="1" applyFont="1" applyBorder="1" applyAlignment="1">
      <alignment horizontal="center" vertical="center"/>
    </xf>
    <xf numFmtId="0" fontId="14" fillId="2" borderId="0" xfId="0" applyFont="1" applyFill="1" applyAlignment="1">
      <alignment horizontal="center" vertical="center" wrapText="1"/>
    </xf>
    <xf numFmtId="170" fontId="19" fillId="0" borderId="5" xfId="0" applyNumberFormat="1" applyFont="1" applyBorder="1" applyAlignment="1">
      <alignment horizontal="center" vertical="center"/>
    </xf>
    <xf numFmtId="0" fontId="21" fillId="0" borderId="0" xfId="0" applyFont="1"/>
    <xf numFmtId="0" fontId="22" fillId="0" borderId="0" xfId="0" applyFont="1"/>
    <xf numFmtId="0" fontId="23" fillId="4" borderId="6" xfId="0" applyFont="1" applyFill="1" applyBorder="1" applyAlignment="1">
      <alignment vertical="top" wrapText="1"/>
    </xf>
    <xf numFmtId="0" fontId="0" fillId="0" borderId="6" xfId="0" applyBorder="1" applyAlignment="1">
      <alignment vertical="top" wrapText="1"/>
    </xf>
    <xf numFmtId="0" fontId="24" fillId="0" borderId="0" xfId="0" applyFont="1"/>
    <xf numFmtId="0" fontId="18" fillId="2" borderId="6" xfId="0" applyFont="1" applyFill="1" applyBorder="1" applyAlignment="1">
      <alignment vertical="center" wrapText="1"/>
    </xf>
    <xf numFmtId="0" fontId="25" fillId="0" borderId="6" xfId="0" applyFont="1" applyBorder="1" applyAlignment="1">
      <alignment vertical="top" wrapText="1"/>
    </xf>
    <xf numFmtId="0" fontId="23" fillId="0" borderId="0" xfId="0" applyFont="1"/>
    <xf numFmtId="172" fontId="25" fillId="0" borderId="0" xfId="0" applyNumberFormat="1" applyFont="1"/>
    <xf numFmtId="0" fontId="26" fillId="0" borderId="0" xfId="0" applyFont="1"/>
    <xf numFmtId="0" fontId="17" fillId="0" borderId="0" xfId="0" applyFont="1"/>
    <xf numFmtId="0" fontId="18" fillId="2" borderId="7" xfId="0" applyFont="1" applyFill="1" applyBorder="1" applyAlignment="1">
      <alignment horizontal="center" vertical="center" wrapText="1"/>
    </xf>
    <xf numFmtId="0" fontId="15" fillId="0" borderId="7" xfId="0" applyFont="1" applyBorder="1" applyAlignment="1">
      <alignment vertical="center"/>
    </xf>
    <xf numFmtId="1" fontId="16" fillId="0" borderId="7" xfId="0" applyNumberFormat="1" applyFont="1" applyBorder="1" applyAlignment="1">
      <alignment horizontal="right" vertical="center"/>
    </xf>
    <xf numFmtId="1" fontId="27" fillId="0" borderId="7" xfId="0" applyNumberFormat="1" applyFont="1" applyBorder="1" applyAlignment="1">
      <alignment horizontal="right" vertical="center"/>
    </xf>
    <xf numFmtId="0" fontId="15" fillId="0" borderId="7" xfId="0" applyFont="1" applyBorder="1" applyAlignment="1">
      <alignment horizontal="center" vertical="center"/>
    </xf>
    <xf numFmtId="0" fontId="17" fillId="0" borderId="7" xfId="0" applyFont="1" applyBorder="1" applyAlignment="1">
      <alignment vertical="center"/>
    </xf>
    <xf numFmtId="168" fontId="16" fillId="0" borderId="7" xfId="0" applyNumberFormat="1" applyFont="1" applyBorder="1" applyAlignment="1">
      <alignment horizontal="right" vertical="center"/>
    </xf>
    <xf numFmtId="168" fontId="27" fillId="0" borderId="7" xfId="0" applyNumberFormat="1" applyFont="1" applyBorder="1" applyAlignment="1">
      <alignment horizontal="right" vertical="center"/>
    </xf>
    <xf numFmtId="0" fontId="28" fillId="0" borderId="0" xfId="0" applyFont="1"/>
    <xf numFmtId="0" fontId="18" fillId="5" borderId="0" xfId="0" applyFont="1" applyFill="1" applyAlignment="1">
      <alignment horizontal="center" wrapText="1"/>
    </xf>
    <xf numFmtId="0" fontId="7" fillId="0" borderId="0" xfId="0" applyFont="1"/>
    <xf numFmtId="168" fontId="29" fillId="0" borderId="0" xfId="0" applyNumberFormat="1" applyFont="1"/>
    <xf numFmtId="0" fontId="29" fillId="0" borderId="0" xfId="0" applyFont="1"/>
    <xf numFmtId="3" fontId="29" fillId="0" borderId="0" xfId="0" applyNumberFormat="1" applyFont="1"/>
    <xf numFmtId="173" fontId="29" fillId="0" borderId="0" xfId="0" applyNumberFormat="1" applyFont="1"/>
    <xf numFmtId="174" fontId="29" fillId="0" borderId="0" xfId="0" applyNumberFormat="1" applyFont="1"/>
    <xf numFmtId="0" fontId="30" fillId="0" borderId="0" xfId="0" applyFont="1"/>
    <xf numFmtId="3" fontId="16" fillId="0" borderId="7" xfId="0" applyNumberFormat="1" applyFont="1" applyBorder="1" applyAlignment="1">
      <alignment horizontal="right" vertical="center"/>
    </xf>
    <xf numFmtId="0" fontId="31" fillId="0" borderId="7" xfId="0" applyFont="1" applyBorder="1" applyAlignment="1">
      <alignment horizontal="center" vertical="center"/>
    </xf>
    <xf numFmtId="0" fontId="31" fillId="0" borderId="7" xfId="0" applyFont="1" applyBorder="1" applyAlignment="1">
      <alignment vertical="center"/>
    </xf>
    <xf numFmtId="10" fontId="16" fillId="0" borderId="7" xfId="0" applyNumberFormat="1" applyFont="1" applyBorder="1" applyAlignment="1">
      <alignment horizontal="right" vertical="center"/>
    </xf>
    <xf numFmtId="2" fontId="16" fillId="0" borderId="7" xfId="0" applyNumberFormat="1" applyFont="1" applyBorder="1" applyAlignment="1">
      <alignment horizontal="right" vertical="center"/>
    </xf>
    <xf numFmtId="171" fontId="16" fillId="0" borderId="7" xfId="0" applyNumberFormat="1" applyFont="1" applyBorder="1" applyAlignment="1">
      <alignment horizontal="right" vertical="center"/>
    </xf>
    <xf numFmtId="175" fontId="16" fillId="0" borderId="7" xfId="0" applyNumberFormat="1" applyFont="1" applyBorder="1" applyAlignment="1">
      <alignment horizontal="right" vertical="center"/>
    </xf>
    <xf numFmtId="0" fontId="16" fillId="0" borderId="7" xfId="0" applyFont="1" applyBorder="1" applyAlignment="1">
      <alignment horizontal="center" vertical="center"/>
    </xf>
    <xf numFmtId="174" fontId="16" fillId="0" borderId="7" xfId="0" applyNumberFormat="1" applyFont="1" applyBorder="1" applyAlignment="1">
      <alignment horizontal="right" vertical="center"/>
    </xf>
    <xf numFmtId="173" fontId="16" fillId="0" borderId="7" xfId="0" applyNumberFormat="1" applyFont="1" applyBorder="1" applyAlignment="1">
      <alignment horizontal="right" vertical="center"/>
    </xf>
    <xf numFmtId="0" fontId="15" fillId="3" borderId="7" xfId="0" applyFont="1" applyFill="1" applyBorder="1" applyAlignment="1">
      <alignment horizontal="center" vertical="center"/>
    </xf>
    <xf numFmtId="174" fontId="15" fillId="3" borderId="7" xfId="0" applyNumberFormat="1" applyFont="1" applyFill="1" applyBorder="1" applyAlignment="1">
      <alignment horizontal="right" vertical="center"/>
    </xf>
    <xf numFmtId="1" fontId="15" fillId="3" borderId="7" xfId="0" applyNumberFormat="1" applyFont="1" applyFill="1" applyBorder="1" applyAlignment="1">
      <alignment horizontal="right" vertical="center"/>
    </xf>
    <xf numFmtId="3" fontId="15" fillId="3" borderId="7" xfId="0" applyNumberFormat="1" applyFont="1" applyFill="1" applyBorder="1" applyAlignment="1">
      <alignment horizontal="right" vertical="center"/>
    </xf>
    <xf numFmtId="171" fontId="15" fillId="3" borderId="7" xfId="0" applyNumberFormat="1" applyFont="1" applyFill="1" applyBorder="1" applyAlignment="1">
      <alignment horizontal="right" vertical="center"/>
    </xf>
    <xf numFmtId="2" fontId="15" fillId="3" borderId="7" xfId="0" applyNumberFormat="1" applyFont="1" applyFill="1" applyBorder="1" applyAlignment="1">
      <alignment horizontal="right" vertical="center"/>
    </xf>
    <xf numFmtId="173" fontId="15" fillId="3" borderId="7" xfId="0" applyNumberFormat="1" applyFont="1" applyFill="1" applyBorder="1" applyAlignment="1">
      <alignment horizontal="right" vertical="center"/>
    </xf>
    <xf numFmtId="0" fontId="18" fillId="2" borderId="0" xfId="0" applyFont="1" applyFill="1"/>
    <xf numFmtId="0" fontId="16" fillId="0" borderId="7" xfId="0" applyFont="1" applyBorder="1" applyAlignment="1">
      <alignment vertical="center"/>
    </xf>
    <xf numFmtId="9" fontId="32" fillId="0" borderId="7" xfId="0" applyNumberFormat="1" applyFont="1" applyBorder="1" applyAlignment="1">
      <alignment horizontal="right" vertical="center"/>
    </xf>
    <xf numFmtId="0" fontId="17" fillId="0" borderId="7" xfId="0" applyFont="1" applyBorder="1" applyAlignment="1">
      <alignment vertical="center" wrapText="1"/>
    </xf>
    <xf numFmtId="175" fontId="15" fillId="0" borderId="7" xfId="0" applyNumberFormat="1" applyFont="1" applyBorder="1" applyAlignment="1">
      <alignment horizontal="right" vertical="center"/>
    </xf>
    <xf numFmtId="1" fontId="15" fillId="0" borderId="7" xfId="0" applyNumberFormat="1" applyFont="1" applyBorder="1" applyAlignment="1">
      <alignment horizontal="right" vertical="center"/>
    </xf>
    <xf numFmtId="3" fontId="15" fillId="0" borderId="7" xfId="0" applyNumberFormat="1" applyFont="1" applyBorder="1" applyAlignment="1">
      <alignment horizontal="right" vertical="center"/>
    </xf>
    <xf numFmtId="2" fontId="15" fillId="0" borderId="7" xfId="0" applyNumberFormat="1" applyFont="1" applyBorder="1" applyAlignment="1">
      <alignment horizontal="right" vertical="center"/>
    </xf>
    <xf numFmtId="176" fontId="15" fillId="0" borderId="7" xfId="0" applyNumberFormat="1" applyFont="1" applyBorder="1" applyAlignment="1">
      <alignment horizontal="right" vertical="center"/>
    </xf>
    <xf numFmtId="177" fontId="15" fillId="0" borderId="7" xfId="0" applyNumberFormat="1" applyFont="1" applyBorder="1" applyAlignment="1">
      <alignment horizontal="right" vertical="center"/>
    </xf>
    <xf numFmtId="0" fontId="15" fillId="0" borderId="0" xfId="0" applyFont="1"/>
    <xf numFmtId="175" fontId="28" fillId="0" borderId="0" xfId="0" applyNumberFormat="1" applyFont="1"/>
    <xf numFmtId="1" fontId="28" fillId="0" borderId="0" xfId="0" applyNumberFormat="1" applyFont="1"/>
    <xf numFmtId="1" fontId="16" fillId="0" borderId="7" xfId="0" applyNumberFormat="1" applyFont="1" applyBorder="1" applyAlignment="1">
      <alignment horizontal="center" vertical="center"/>
    </xf>
    <xf numFmtId="168" fontId="15" fillId="0" borderId="7" xfId="0" applyNumberFormat="1" applyFont="1" applyBorder="1" applyAlignment="1">
      <alignment horizontal="center" vertical="center"/>
    </xf>
    <xf numFmtId="168" fontId="16" fillId="0" borderId="7" xfId="0" applyNumberFormat="1" applyFont="1" applyBorder="1" applyAlignment="1">
      <alignment horizontal="center" vertical="center"/>
    </xf>
    <xf numFmtId="3" fontId="16" fillId="0" borderId="7" xfId="0" applyNumberFormat="1" applyFont="1" applyBorder="1" applyAlignment="1">
      <alignment horizontal="center" vertical="center"/>
    </xf>
    <xf numFmtId="178" fontId="33" fillId="6" borderId="7" xfId="0" applyNumberFormat="1" applyFont="1" applyFill="1" applyBorder="1"/>
    <xf numFmtId="0" fontId="15" fillId="0" borderId="7" xfId="0" applyFont="1" applyBorder="1" applyAlignment="1">
      <alignment vertical="center" wrapText="1"/>
    </xf>
    <xf numFmtId="175" fontId="27" fillId="0" borderId="7" xfId="0" applyNumberFormat="1" applyFont="1" applyBorder="1" applyAlignment="1">
      <alignment horizontal="right" vertical="center"/>
    </xf>
    <xf numFmtId="179" fontId="15" fillId="0" borderId="7" xfId="0" applyNumberFormat="1" applyFont="1" applyBorder="1" applyAlignment="1">
      <alignment horizontal="right" vertical="center"/>
    </xf>
    <xf numFmtId="0" fontId="31" fillId="0" borderId="7" xfId="0" applyFont="1" applyBorder="1" applyAlignment="1">
      <alignment vertical="center" wrapText="1"/>
    </xf>
    <xf numFmtId="0" fontId="13" fillId="0" borderId="0" xfId="0" applyFont="1"/>
    <xf numFmtId="0" fontId="16" fillId="0" borderId="7" xfId="0" applyFont="1" applyBorder="1" applyAlignment="1">
      <alignment vertical="center" wrapText="1"/>
    </xf>
    <xf numFmtId="170" fontId="15" fillId="0" borderId="7" xfId="0" applyNumberFormat="1" applyFont="1" applyBorder="1" applyAlignment="1">
      <alignment horizontal="right" vertical="center"/>
    </xf>
    <xf numFmtId="0" fontId="15" fillId="0" borderId="0" xfId="0" applyFont="1" applyAlignment="1">
      <alignment horizontal="right"/>
    </xf>
    <xf numFmtId="3" fontId="27" fillId="0" borderId="7" xfId="0" applyNumberFormat="1" applyFont="1" applyBorder="1" applyAlignment="1">
      <alignment horizontal="right" vertical="center"/>
    </xf>
    <xf numFmtId="180" fontId="31" fillId="0" borderId="7" xfId="0" applyNumberFormat="1" applyFont="1" applyBorder="1" applyAlignment="1">
      <alignment horizontal="right" vertical="center"/>
    </xf>
    <xf numFmtId="0" fontId="31" fillId="0" borderId="7" xfId="0" applyFont="1" applyBorder="1" applyAlignment="1">
      <alignment horizontal="right" vertical="center"/>
    </xf>
    <xf numFmtId="181" fontId="27" fillId="0" borderId="7" xfId="0" applyNumberFormat="1" applyFont="1" applyBorder="1" applyAlignment="1">
      <alignment horizontal="right" vertical="center"/>
    </xf>
    <xf numFmtId="181" fontId="16" fillId="0" borderId="7" xfId="0" applyNumberFormat="1" applyFont="1" applyBorder="1" applyAlignment="1">
      <alignment horizontal="right" vertical="center"/>
    </xf>
    <xf numFmtId="177" fontId="27" fillId="0" borderId="7" xfId="0" applyNumberFormat="1" applyFont="1" applyBorder="1" applyAlignment="1">
      <alignment horizontal="right" vertical="center"/>
    </xf>
    <xf numFmtId="177" fontId="16" fillId="0" borderId="7" xfId="0" applyNumberFormat="1" applyFont="1" applyBorder="1" applyAlignment="1">
      <alignment horizontal="right" vertical="center"/>
    </xf>
    <xf numFmtId="2" fontId="27" fillId="0" borderId="7" xfId="0" applyNumberFormat="1" applyFont="1" applyBorder="1" applyAlignment="1">
      <alignment horizontal="right" vertical="center"/>
    </xf>
    <xf numFmtId="176" fontId="27" fillId="0" borderId="7" xfId="0" applyNumberFormat="1" applyFont="1" applyBorder="1" applyAlignment="1">
      <alignment horizontal="right" vertical="center"/>
    </xf>
    <xf numFmtId="176" fontId="16" fillId="0" borderId="7" xfId="0" applyNumberFormat="1" applyFont="1" applyBorder="1" applyAlignment="1">
      <alignment horizontal="right" vertical="center"/>
    </xf>
    <xf numFmtId="4" fontId="27" fillId="0" borderId="7" xfId="0" applyNumberFormat="1" applyFont="1" applyBorder="1" applyAlignment="1">
      <alignment horizontal="right" vertical="center"/>
    </xf>
    <xf numFmtId="4" fontId="16" fillId="0" borderId="7" xfId="0" applyNumberFormat="1" applyFont="1" applyBorder="1" applyAlignment="1">
      <alignment horizontal="right" vertical="center"/>
    </xf>
    <xf numFmtId="0" fontId="23" fillId="0" borderId="8" xfId="0" applyFont="1" applyBorder="1"/>
    <xf numFmtId="0" fontId="0" fillId="0" borderId="8" xfId="0" applyBorder="1"/>
    <xf numFmtId="0" fontId="34" fillId="0" borderId="8" xfId="0" applyFont="1" applyBorder="1"/>
    <xf numFmtId="0" fontId="18" fillId="2" borderId="8" xfId="0" applyFont="1" applyFill="1" applyBorder="1" applyAlignment="1">
      <alignment vertical="center" wrapText="1"/>
    </xf>
    <xf numFmtId="0" fontId="35" fillId="0" borderId="8" xfId="0" applyFont="1" applyBorder="1" applyAlignment="1">
      <alignment vertical="top" wrapText="1"/>
    </xf>
    <xf numFmtId="172" fontId="35" fillId="0" borderId="8" xfId="0" applyNumberFormat="1" applyFont="1" applyBorder="1" applyAlignment="1">
      <alignment vertical="top" wrapText="1"/>
    </xf>
    <xf numFmtId="0" fontId="25" fillId="0" borderId="8" xfId="0" applyFont="1" applyBorder="1" applyAlignment="1">
      <alignment vertical="top" wrapText="1"/>
    </xf>
    <xf numFmtId="172" fontId="36" fillId="7" borderId="8" xfId="0" applyNumberFormat="1" applyFont="1" applyFill="1" applyBorder="1" applyAlignment="1">
      <alignment vertical="top" wrapText="1"/>
    </xf>
    <xf numFmtId="0" fontId="25" fillId="7" borderId="8" xfId="0" applyFont="1" applyFill="1" applyBorder="1" applyAlignment="1">
      <alignment vertical="top" wrapText="1"/>
    </xf>
    <xf numFmtId="172" fontId="25" fillId="7" borderId="8" xfId="0" applyNumberFormat="1" applyFont="1" applyFill="1" applyBorder="1" applyAlignment="1">
      <alignment vertical="top" wrapText="1"/>
    </xf>
    <xf numFmtId="0" fontId="25" fillId="7" borderId="8" xfId="0" applyFont="1" applyFill="1" applyBorder="1" applyAlignment="1">
      <alignment horizontal="left" vertical="top" wrapText="1"/>
    </xf>
    <xf numFmtId="0" fontId="0" fillId="8" borderId="8" xfId="0" applyFill="1" applyBorder="1" applyAlignment="1">
      <alignment horizontal="left" vertical="top" wrapText="1"/>
    </xf>
    <xf numFmtId="0" fontId="37" fillId="7" borderId="8" xfId="1" applyFill="1" applyBorder="1" applyAlignment="1">
      <alignment vertical="top" wrapText="1"/>
    </xf>
    <xf numFmtId="0" fontId="4" fillId="3" borderId="1" xfId="0" applyFont="1" applyFill="1" applyBorder="1" applyAlignment="1">
      <alignment horizontal="center" vertical="center"/>
    </xf>
    <xf numFmtId="164" fontId="5" fillId="3" borderId="2" xfId="0" applyNumberFormat="1" applyFont="1" applyFill="1" applyBorder="1" applyAlignment="1">
      <alignment horizontal="center" vertical="center"/>
    </xf>
    <xf numFmtId="165" fontId="5" fillId="3" borderId="2" xfId="0" applyNumberFormat="1" applyFont="1" applyFill="1" applyBorder="1" applyAlignment="1">
      <alignment horizontal="center" vertical="center"/>
    </xf>
    <xf numFmtId="10" fontId="5" fillId="3" borderId="2" xfId="0" applyNumberFormat="1" applyFont="1" applyFill="1" applyBorder="1" applyAlignment="1">
      <alignment horizontal="center" vertical="center"/>
    </xf>
    <xf numFmtId="1" fontId="5" fillId="3" borderId="2" xfId="0" applyNumberFormat="1" applyFont="1" applyFill="1" applyBorder="1" applyAlignment="1">
      <alignment horizontal="center" vertical="center"/>
    </xf>
    <xf numFmtId="166" fontId="5" fillId="3" borderId="2" xfId="0" applyNumberFormat="1" applyFont="1" applyFill="1" applyBorder="1" applyAlignment="1">
      <alignment horizontal="center" vertical="center"/>
    </xf>
    <xf numFmtId="0" fontId="6" fillId="3" borderId="2" xfId="0" applyFont="1" applyFill="1" applyBorder="1" applyAlignment="1">
      <alignment horizontal="center" vertical="center"/>
    </xf>
    <xf numFmtId="0" fontId="7" fillId="0" borderId="3" xfId="0" applyFont="1" applyBorder="1"/>
    <xf numFmtId="0" fontId="8" fillId="0" borderId="0" xfId="0" applyFont="1" applyAlignment="1">
      <alignment vertical="top" wrapText="1"/>
    </xf>
    <xf numFmtId="0" fontId="9" fillId="0" borderId="0" xfId="0" applyFont="1" applyAlignment="1">
      <alignment vertical="top" wrapText="1"/>
    </xf>
    <xf numFmtId="0" fontId="10" fillId="0" borderId="4" xfId="0" applyFont="1" applyBorder="1"/>
    <xf numFmtId="0" fontId="4" fillId="3" borderId="0" xfId="0" applyFont="1" applyFill="1" applyAlignment="1">
      <alignment horizontal="center" vertical="center"/>
    </xf>
    <xf numFmtId="0" fontId="11" fillId="0" borderId="5" xfId="0" applyFont="1" applyBorder="1" applyAlignment="1">
      <alignment vertical="center" wrapText="1"/>
    </xf>
    <xf numFmtId="1" fontId="12" fillId="3" borderId="0" xfId="0" applyNumberFormat="1" applyFont="1" applyFill="1" applyAlignment="1">
      <alignment horizontal="center" vertical="center"/>
    </xf>
    <xf numFmtId="167" fontId="13" fillId="3" borderId="0" xfId="0" applyNumberFormat="1" applyFont="1" applyFill="1" applyAlignment="1">
      <alignment horizontal="center" vertical="center"/>
    </xf>
    <xf numFmtId="0" fontId="14" fillId="2" borderId="0" xfId="0" applyFont="1" applyFill="1" applyAlignment="1">
      <alignment horizontal="center"/>
    </xf>
    <xf numFmtId="168" fontId="15" fillId="0" borderId="5" xfId="0" applyNumberFormat="1" applyFont="1" applyBorder="1" applyAlignment="1">
      <alignment horizontal="center" vertical="center"/>
    </xf>
    <xf numFmtId="164" fontId="16" fillId="0" borderId="5" xfId="0" applyNumberFormat="1" applyFont="1" applyBorder="1" applyAlignment="1">
      <alignment horizontal="center" vertical="center"/>
    </xf>
    <xf numFmtId="0" fontId="17" fillId="0" borderId="0" xfId="0" applyFont="1" applyAlignment="1">
      <alignment vertical="top" wrapText="1"/>
    </xf>
    <xf numFmtId="0" fontId="14" fillId="2" borderId="0" xfId="0" applyFont="1" applyFill="1" applyAlignment="1">
      <alignment horizontal="left" vertical="center" wrapText="1"/>
    </xf>
    <xf numFmtId="0" fontId="14" fillId="2" borderId="0" xfId="0" applyFont="1" applyFill="1" applyAlignment="1">
      <alignment horizontal="center" vertical="center" wrapText="1"/>
    </xf>
    <xf numFmtId="0" fontId="18" fillId="2" borderId="0" xfId="0" applyFont="1" applyFill="1" applyAlignment="1">
      <alignment horizontal="center" vertical="center"/>
    </xf>
    <xf numFmtId="0" fontId="11" fillId="3" borderId="0" xfId="0" applyFont="1" applyFill="1" applyAlignment="1">
      <alignment vertical="center" wrapText="1" indent="1"/>
    </xf>
    <xf numFmtId="0" fontId="11" fillId="0" borderId="5" xfId="0" applyFont="1" applyBorder="1" applyAlignment="1">
      <alignment horizontal="left" vertical="center"/>
    </xf>
    <xf numFmtId="3" fontId="11" fillId="0" borderId="5" xfId="0" applyNumberFormat="1" applyFont="1" applyBorder="1" applyAlignment="1">
      <alignment horizontal="center" vertical="center"/>
    </xf>
    <xf numFmtId="0" fontId="20" fillId="0" borderId="0" xfId="0" applyFont="1" applyAlignment="1">
      <alignment vertical="top" wrapText="1"/>
    </xf>
    <xf numFmtId="0" fontId="8" fillId="0" borderId="0" xfId="0" applyFont="1"/>
    <xf numFmtId="0" fontId="29" fillId="0" borderId="0" xfId="0" applyFont="1"/>
    <xf numFmtId="0" fontId="16" fillId="0" borderId="0" xfId="0" applyFont="1" applyAlignment="1">
      <alignment vertical="center" wrapText="1"/>
    </xf>
    <xf numFmtId="0" fontId="28" fillId="0" borderId="0" xfId="0" applyFont="1"/>
  </cellXfs>
  <cellStyles count="2">
    <cellStyle name="Hyperlink" xfId="1" builtinId="8"/>
    <cellStyle name="Normal" xfId="0" builtinId="0"/>
  </cellStyles>
  <dxfs count="4">
    <dxf>
      <font>
        <b/>
        <color rgb="FF006100"/>
        <name val="Arial"/>
        <charset val="1"/>
      </font>
      <fill>
        <patternFill>
          <bgColor rgb="FFDDEFE3"/>
        </patternFill>
      </fill>
    </dxf>
    <dxf>
      <font>
        <b/>
        <color rgb="FF9C0006"/>
        <name val="Arial"/>
        <charset val="1"/>
      </font>
      <fill>
        <patternFill>
          <bgColor rgb="FFF4CCCC"/>
        </patternFill>
      </fill>
    </dxf>
    <dxf>
      <font>
        <b/>
        <color rgb="FF006100"/>
        <name val="Arial"/>
        <charset val="1"/>
      </font>
      <fill>
        <patternFill>
          <bgColor rgb="FFDDEFE3"/>
        </patternFill>
      </fill>
    </dxf>
    <dxf>
      <font>
        <b/>
        <color rgb="FF9C0006"/>
        <name val="Arial"/>
        <charset val="1"/>
      </font>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3F6F7"/>
      <rgbColor rgb="FFFF00FF"/>
      <rgbColor rgb="FF00FFFF"/>
      <rgbColor rgb="FF9C0006"/>
      <rgbColor rgb="FF006100"/>
      <rgbColor rgb="FF000080"/>
      <rgbColor rgb="FF8A5A12"/>
      <rgbColor rgb="FF800080"/>
      <rgbColor rgb="FF008080"/>
      <rgbColor rgb="FFB8C4C9"/>
      <rgbColor rgb="FF6B7C85"/>
      <rgbColor rgb="FF9999FF"/>
      <rgbColor rgb="FFB5483A"/>
      <rgbColor rgb="FFFFF8E1"/>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DCE6E9"/>
      <rgbColor rgb="FFDDEFE3"/>
      <rgbColor rgb="FFFFF2CC"/>
      <rgbColor rgb="FFD5DDE0"/>
      <rgbColor rgb="FFE3E8EA"/>
      <rgbColor rgb="FFD9D9D9"/>
      <rgbColor rgb="FFF4CCCC"/>
      <rgbColor rgb="FF3366FF"/>
      <rgbColor rgb="FF33CCCC"/>
      <rgbColor rgb="FF99CC00"/>
      <rgbColor rgb="FFFFCC00"/>
      <rgbColor rgb="FFE8A33D"/>
      <rgbColor rgb="FFFF6600"/>
      <rgbColor rgb="FF666666"/>
      <rgbColor rgb="FF969696"/>
      <rgbColor rgb="FF1F4E5A"/>
      <rgbColor rgb="FF2E7D32"/>
      <rgbColor rgb="FF003300"/>
      <rgbColor rgb="FF333300"/>
      <rgbColor rgb="FF993300"/>
      <rgbColor rgb="FF993366"/>
      <rgbColor rgb="FF555555"/>
      <rgbColor rgb="FF1E2B30"/>
      <rgbColor rgb="00003366"/>
      <rgbColor rgb="00339966"/>
      <rgbColor rgb="00003300"/>
      <rgbColor rgb="00333300"/>
      <rgbColor rgb="00993300"/>
      <rgbColor rgb="00993366"/>
      <rgbColor rgb="00333399"/>
      <rgbColor rgb="00333333"/>
    </indexed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stacked"/>
        <c:varyColors val="0"/>
        <c:ser>
          <c:idx val="0"/>
          <c:order val="0"/>
          <c:tx>
            <c:v>Grid</c:v>
          </c:tx>
          <c:spPr>
            <a:solidFill>
              <a:srgbClr val="1F4E5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Analysis'!$A$5:$A$16</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'Monthly Analysis'!$F$5:$F$16</c:f>
              <c:numCache>
                <c:formatCode>#,##0</c:formatCode>
                <c:ptCount val="12"/>
                <c:pt idx="0">
                  <c:v>316499</c:v>
                </c:pt>
                <c:pt idx="1">
                  <c:v>353699</c:v>
                </c:pt>
                <c:pt idx="2">
                  <c:v>347954</c:v>
                </c:pt>
                <c:pt idx="3">
                  <c:v>367272</c:v>
                </c:pt>
                <c:pt idx="4">
                  <c:v>358530</c:v>
                </c:pt>
                <c:pt idx="5">
                  <c:v>344162</c:v>
                </c:pt>
                <c:pt idx="6">
                  <c:v>340717</c:v>
                </c:pt>
                <c:pt idx="7">
                  <c:v>309370</c:v>
                </c:pt>
                <c:pt idx="8">
                  <c:v>331060</c:v>
                </c:pt>
                <c:pt idx="9">
                  <c:v>324131</c:v>
                </c:pt>
                <c:pt idx="10">
                  <c:v>293591</c:v>
                </c:pt>
                <c:pt idx="11">
                  <c:v>327886</c:v>
                </c:pt>
              </c:numCache>
            </c:numRef>
          </c:val>
          <c:extLst>
            <c:ext xmlns:c16="http://schemas.microsoft.com/office/drawing/2014/chart" uri="{C3380CC4-5D6E-409C-BE32-E72D297353CC}">
              <c16:uniqueId val="{00000000-51CC-47BD-B89C-CA2A23B07570}"/>
            </c:ext>
          </c:extLst>
        </c:ser>
        <c:ser>
          <c:idx val="1"/>
          <c:order val="1"/>
          <c:tx>
            <c:v>Solar</c:v>
          </c:tx>
          <c:spPr>
            <a:solidFill>
              <a:srgbClr val="E8A33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Analysis'!$A$5:$A$16</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'Monthly Analysis'!$G$5:$G$16</c:f>
              <c:numCache>
                <c:formatCode>#,##0</c:formatCode>
                <c:ptCount val="12"/>
                <c:pt idx="0">
                  <c:v>48738</c:v>
                </c:pt>
                <c:pt idx="1">
                  <c:v>49544</c:v>
                </c:pt>
                <c:pt idx="2">
                  <c:v>20853</c:v>
                </c:pt>
                <c:pt idx="3">
                  <c:v>20161</c:v>
                </c:pt>
                <c:pt idx="4">
                  <c:v>22863</c:v>
                </c:pt>
                <c:pt idx="5">
                  <c:v>20423</c:v>
                </c:pt>
                <c:pt idx="6">
                  <c:v>49162</c:v>
                </c:pt>
                <c:pt idx="7">
                  <c:v>48512</c:v>
                </c:pt>
                <c:pt idx="8">
                  <c:v>48525</c:v>
                </c:pt>
                <c:pt idx="9">
                  <c:v>48181</c:v>
                </c:pt>
                <c:pt idx="10">
                  <c:v>45484</c:v>
                </c:pt>
                <c:pt idx="11">
                  <c:v>52322</c:v>
                </c:pt>
              </c:numCache>
            </c:numRef>
          </c:val>
          <c:extLst>
            <c:ext xmlns:c16="http://schemas.microsoft.com/office/drawing/2014/chart" uri="{C3380CC4-5D6E-409C-BE32-E72D297353CC}">
              <c16:uniqueId val="{00000001-51CC-47BD-B89C-CA2A23B07570}"/>
            </c:ext>
          </c:extLst>
        </c:ser>
        <c:dLbls>
          <c:showLegendKey val="0"/>
          <c:showVal val="0"/>
          <c:showCatName val="0"/>
          <c:showSerName val="0"/>
          <c:showPercent val="0"/>
          <c:showBubbleSize val="0"/>
        </c:dLbls>
        <c:gapWidth val="55"/>
        <c:overlap val="100"/>
        <c:axId val="73604799"/>
        <c:axId val="77028459"/>
      </c:barChart>
      <c:catAx>
        <c:axId val="73604799"/>
        <c:scaling>
          <c:orientation val="minMax"/>
        </c:scaling>
        <c:delete val="0"/>
        <c:axPos val="b"/>
        <c:numFmt formatCode="General" sourceLinked="1"/>
        <c:majorTickMark val="none"/>
        <c:minorTickMark val="none"/>
        <c:tickLblPos val="nextTo"/>
        <c:spPr>
          <a:ln w="9360">
            <a:solidFill>
              <a:srgbClr val="B8C4C9"/>
            </a:solidFill>
            <a:round/>
          </a:ln>
        </c:spPr>
        <c:txPr>
          <a:bodyPr/>
          <a:lstStyle/>
          <a:p>
            <a:pPr>
              <a:defRPr sz="900" b="0" strike="noStrike" spc="-1">
                <a:solidFill>
                  <a:srgbClr val="1E2B30"/>
                </a:solidFill>
                <a:latin typeface="Arial"/>
              </a:defRPr>
            </a:pPr>
            <a:endParaRPr lang="en-US"/>
          </a:p>
        </c:txPr>
        <c:crossAx val="77028459"/>
        <c:crosses val="autoZero"/>
        <c:auto val="1"/>
        <c:lblAlgn val="ctr"/>
        <c:lblOffset val="100"/>
        <c:noMultiLvlLbl val="0"/>
      </c:catAx>
      <c:valAx>
        <c:axId val="77028459"/>
        <c:scaling>
          <c:orientation val="minMax"/>
          <c:min val="0"/>
        </c:scaling>
        <c:delete val="0"/>
        <c:axPos val="l"/>
        <c:majorGridlines>
          <c:spPr>
            <a:ln w="9360">
              <a:solidFill>
                <a:srgbClr val="E3E8EA"/>
              </a:solidFill>
              <a:round/>
            </a:ln>
          </c:spPr>
        </c:majorGridlines>
        <c:title>
          <c:tx>
            <c:rich>
              <a:bodyPr rot="-5400000"/>
              <a:lstStyle/>
              <a:p>
                <a:pPr>
                  <a:defRPr sz="900" b="0" strike="noStrike" spc="-1">
                    <a:solidFill>
                      <a:srgbClr val="6B7C85"/>
                    </a:solidFill>
                    <a:latin typeface="Arial"/>
                  </a:defRPr>
                </a:pPr>
                <a:r>
                  <a:rPr lang="en-IN" sz="900" b="0" strike="noStrike" spc="-1">
                    <a:solidFill>
                      <a:srgbClr val="6B7C85"/>
                    </a:solidFill>
                    <a:latin typeface="Arial"/>
                  </a:rPr>
                  <a:t>kWh</a:t>
                </a:r>
              </a:p>
            </c:rich>
          </c:tx>
          <c:overlay val="0"/>
          <c:spPr>
            <a:noFill/>
            <a:ln w="0">
              <a:noFill/>
            </a:ln>
          </c:spPr>
        </c:title>
        <c:numFmt formatCode="#,##0" sourceLinked="0"/>
        <c:majorTickMark val="none"/>
        <c:minorTickMark val="none"/>
        <c:tickLblPos val="nextTo"/>
        <c:spPr>
          <a:ln w="9360">
            <a:noFill/>
          </a:ln>
        </c:spPr>
        <c:txPr>
          <a:bodyPr/>
          <a:lstStyle/>
          <a:p>
            <a:pPr>
              <a:defRPr sz="900" b="0" strike="noStrike" spc="-1">
                <a:solidFill>
                  <a:srgbClr val="1E2B30"/>
                </a:solidFill>
                <a:latin typeface="Arial"/>
              </a:defRPr>
            </a:pPr>
            <a:endParaRPr lang="en-US"/>
          </a:p>
        </c:txPr>
        <c:crossAx val="73604799"/>
        <c:crosses val="autoZero"/>
        <c:crossBetween val="between"/>
      </c:valAx>
      <c:spPr>
        <a:noFill/>
        <a:ln w="0">
          <a:noFill/>
        </a:ln>
      </c:spPr>
    </c:plotArea>
    <c:legend>
      <c:legendPos val="b"/>
      <c:overlay val="0"/>
      <c:spPr>
        <a:noFill/>
        <a:ln w="0">
          <a:noFill/>
        </a:ln>
      </c:spPr>
      <c:txPr>
        <a:bodyPr/>
        <a:lstStyle/>
        <a:p>
          <a:pPr>
            <a:defRPr sz="900" b="0" strike="noStrike" spc="-1">
              <a:solidFill>
                <a:srgbClr val="1E2B30"/>
              </a:solidFill>
              <a:latin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v>kWh/unit</c:v>
          </c:tx>
          <c:spPr>
            <a:ln w="28080">
              <a:solidFill>
                <a:srgbClr val="1F4E5A"/>
              </a:solidFill>
              <a:round/>
            </a:ln>
          </c:spPr>
          <c:marker>
            <c:symbol val="circle"/>
            <c:size val="7"/>
            <c:spPr>
              <a:solidFill>
                <a:srgbClr val="1F4E5A"/>
              </a:solidFill>
            </c:spPr>
          </c:marker>
          <c:dLbls>
            <c:spPr>
              <a:noFill/>
              <a:ln>
                <a:noFill/>
              </a:ln>
              <a:effectLst/>
            </c:spPr>
            <c:txPr>
              <a:bodyPr wrap="square"/>
              <a:lstStyle/>
              <a:p>
                <a:pPr>
                  <a:defRPr sz="800" b="0" strike="noStrike" spc="-1">
                    <a:solidFill>
                      <a:srgbClr val="1F4E5A"/>
                    </a:solidFill>
                    <a:latin typeface="Arial"/>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Analysis'!$A$5:$A$16</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'Monthly Analysis'!$L$5:$L$16</c:f>
              <c:numCache>
                <c:formatCode>0.00</c:formatCode>
                <c:ptCount val="12"/>
                <c:pt idx="0">
                  <c:v>7.6045696114305628</c:v>
                </c:pt>
                <c:pt idx="1">
                  <c:v>7.820119473342003</c:v>
                </c:pt>
                <c:pt idx="2">
                  <c:v>7.5509812472743132</c:v>
                </c:pt>
                <c:pt idx="3">
                  <c:v>7.6273921355012435</c:v>
                </c:pt>
                <c:pt idx="4">
                  <c:v>7.5761646485031955</c:v>
                </c:pt>
                <c:pt idx="5">
                  <c:v>7.4254431699687178</c:v>
                </c:pt>
                <c:pt idx="6">
                  <c:v>7.563694912508101</c:v>
                </c:pt>
                <c:pt idx="7">
                  <c:v>7.4948013862969871</c:v>
                </c:pt>
                <c:pt idx="8">
                  <c:v>7.489757105943152</c:v>
                </c:pt>
                <c:pt idx="9">
                  <c:v>7.3708668268832351</c:v>
                </c:pt>
                <c:pt idx="10">
                  <c:v>7.4653108389184188</c:v>
                </c:pt>
                <c:pt idx="11">
                  <c:v>7.5534936565044495</c:v>
                </c:pt>
              </c:numCache>
            </c:numRef>
          </c:val>
          <c:smooth val="0"/>
          <c:extLst>
            <c:ext xmlns:c16="http://schemas.microsoft.com/office/drawing/2014/chart" uri="{C3380CC4-5D6E-409C-BE32-E72D297353CC}">
              <c16:uniqueId val="{00000000-BF18-4B02-8812-1D702287F03E}"/>
            </c:ext>
          </c:extLst>
        </c:ser>
        <c:dLbls>
          <c:showLegendKey val="0"/>
          <c:showVal val="0"/>
          <c:showCatName val="0"/>
          <c:showSerName val="0"/>
          <c:showPercent val="0"/>
          <c:showBubbleSize val="0"/>
        </c:dLbls>
        <c:hiLowLines>
          <c:spPr>
            <a:ln w="0">
              <a:noFill/>
            </a:ln>
          </c:spPr>
        </c:hiLowLines>
        <c:marker val="1"/>
        <c:smooth val="0"/>
        <c:axId val="94903627"/>
        <c:axId val="60723459"/>
      </c:lineChart>
      <c:catAx>
        <c:axId val="94903627"/>
        <c:scaling>
          <c:orientation val="minMax"/>
        </c:scaling>
        <c:delete val="0"/>
        <c:axPos val="b"/>
        <c:numFmt formatCode="General" sourceLinked="1"/>
        <c:majorTickMark val="none"/>
        <c:minorTickMark val="none"/>
        <c:tickLblPos val="nextTo"/>
        <c:spPr>
          <a:ln w="9360">
            <a:solidFill>
              <a:srgbClr val="B8C4C9"/>
            </a:solidFill>
            <a:round/>
          </a:ln>
        </c:spPr>
        <c:txPr>
          <a:bodyPr/>
          <a:lstStyle/>
          <a:p>
            <a:pPr>
              <a:defRPr sz="900" b="0" strike="noStrike" spc="-1">
                <a:solidFill>
                  <a:srgbClr val="1E2B30"/>
                </a:solidFill>
                <a:latin typeface="Arial"/>
              </a:defRPr>
            </a:pPr>
            <a:endParaRPr lang="en-US"/>
          </a:p>
        </c:txPr>
        <c:crossAx val="60723459"/>
        <c:crosses val="autoZero"/>
        <c:auto val="1"/>
        <c:lblAlgn val="ctr"/>
        <c:lblOffset val="100"/>
        <c:noMultiLvlLbl val="0"/>
      </c:catAx>
      <c:valAx>
        <c:axId val="60723459"/>
        <c:scaling>
          <c:orientation val="minMax"/>
          <c:max val="8.1999999999999993"/>
          <c:min val="7"/>
        </c:scaling>
        <c:delete val="0"/>
        <c:axPos val="l"/>
        <c:majorGridlines>
          <c:spPr>
            <a:ln w="9360">
              <a:solidFill>
                <a:srgbClr val="E3E8EA"/>
              </a:solidFill>
              <a:round/>
            </a:ln>
          </c:spPr>
        </c:majorGridlines>
        <c:title>
          <c:tx>
            <c:rich>
              <a:bodyPr rot="-5400000"/>
              <a:lstStyle/>
              <a:p>
                <a:pPr>
                  <a:defRPr sz="900" b="0" strike="noStrike" spc="-1">
                    <a:solidFill>
                      <a:srgbClr val="6B7C85"/>
                    </a:solidFill>
                    <a:latin typeface="Arial"/>
                  </a:defRPr>
                </a:pPr>
                <a:r>
                  <a:rPr lang="en-IN" sz="900" b="0" strike="noStrike" spc="-1">
                    <a:solidFill>
                      <a:srgbClr val="6B7C85"/>
                    </a:solidFill>
                    <a:latin typeface="Arial"/>
                  </a:rPr>
                  <a:t>kWh/unit</a:t>
                </a:r>
              </a:p>
            </c:rich>
          </c:tx>
          <c:overlay val="0"/>
          <c:spPr>
            <a:noFill/>
            <a:ln w="0">
              <a:noFill/>
            </a:ln>
          </c:spPr>
        </c:title>
        <c:numFmt formatCode="0.00" sourceLinked="0"/>
        <c:majorTickMark val="none"/>
        <c:minorTickMark val="none"/>
        <c:tickLblPos val="nextTo"/>
        <c:spPr>
          <a:ln w="9360">
            <a:noFill/>
          </a:ln>
        </c:spPr>
        <c:txPr>
          <a:bodyPr/>
          <a:lstStyle/>
          <a:p>
            <a:pPr>
              <a:defRPr sz="900" b="0" strike="noStrike" spc="-1">
                <a:solidFill>
                  <a:srgbClr val="1E2B30"/>
                </a:solidFill>
                <a:latin typeface="Arial"/>
              </a:defRPr>
            </a:pPr>
            <a:endParaRPr lang="en-US"/>
          </a:p>
        </c:txPr>
        <c:crossAx val="94903627"/>
        <c:crosses val="autoZero"/>
        <c:crossBetween val="between"/>
        <c:majorUnit val="0.2"/>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v>Solar share</c:v>
          </c:tx>
          <c:spPr>
            <a:ln w="28080">
              <a:solidFill>
                <a:srgbClr val="E8A33D"/>
              </a:solidFill>
              <a:round/>
            </a:ln>
          </c:spPr>
          <c:marker>
            <c:symbol val="circle"/>
            <c:size val="7"/>
            <c:spPr>
              <a:solidFill>
                <a:srgbClr val="E8A33D"/>
              </a:solidFill>
            </c:spPr>
          </c:marker>
          <c:dLbls>
            <c:spPr>
              <a:noFill/>
              <a:ln>
                <a:noFill/>
              </a:ln>
              <a:effectLst/>
            </c:spPr>
            <c:txPr>
              <a:bodyPr wrap="square"/>
              <a:lstStyle/>
              <a:p>
                <a:pPr>
                  <a:defRPr sz="800" b="0" strike="noStrike" spc="-1">
                    <a:solidFill>
                      <a:srgbClr val="8A5A12"/>
                    </a:solidFill>
                    <a:latin typeface="Arial"/>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Analysis'!$A$5:$A$16</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'Monthly Analysis'!$I$5:$I$16</c:f>
              <c:numCache>
                <c:formatCode>0.0%</c:formatCode>
                <c:ptCount val="12"/>
                <c:pt idx="0">
                  <c:v>0.13344212114325765</c:v>
                </c:pt>
                <c:pt idx="1">
                  <c:v>0.12286388108411057</c:v>
                </c:pt>
                <c:pt idx="2">
                  <c:v>5.6541768458841617E-2</c:v>
                </c:pt>
                <c:pt idx="3">
                  <c:v>5.2037384528421687E-2</c:v>
                </c:pt>
                <c:pt idx="4">
                  <c:v>5.9946039911587264E-2</c:v>
                </c:pt>
                <c:pt idx="5">
                  <c:v>5.6017115350329827E-2</c:v>
                </c:pt>
                <c:pt idx="6">
                  <c:v>0.12609553220358111</c:v>
                </c:pt>
                <c:pt idx="7">
                  <c:v>0.13555305938828999</c:v>
                </c:pt>
                <c:pt idx="8">
                  <c:v>0.1278369798595835</c:v>
                </c:pt>
                <c:pt idx="9">
                  <c:v>0.12941027955048454</c:v>
                </c:pt>
                <c:pt idx="10">
                  <c:v>0.13414141414141414</c:v>
                </c:pt>
                <c:pt idx="11">
                  <c:v>0.13761414804528047</c:v>
                </c:pt>
              </c:numCache>
            </c:numRef>
          </c:val>
          <c:smooth val="0"/>
          <c:extLst>
            <c:ext xmlns:c16="http://schemas.microsoft.com/office/drawing/2014/chart" uri="{C3380CC4-5D6E-409C-BE32-E72D297353CC}">
              <c16:uniqueId val="{00000000-E7E2-4296-B2AE-67189B0F5B64}"/>
            </c:ext>
          </c:extLst>
        </c:ser>
        <c:dLbls>
          <c:showLegendKey val="0"/>
          <c:showVal val="0"/>
          <c:showCatName val="0"/>
          <c:showSerName val="0"/>
          <c:showPercent val="0"/>
          <c:showBubbleSize val="0"/>
        </c:dLbls>
        <c:hiLowLines>
          <c:spPr>
            <a:ln w="0">
              <a:noFill/>
            </a:ln>
          </c:spPr>
        </c:hiLowLines>
        <c:marker val="1"/>
        <c:smooth val="0"/>
        <c:axId val="96819682"/>
        <c:axId val="58840497"/>
      </c:lineChart>
      <c:catAx>
        <c:axId val="96819682"/>
        <c:scaling>
          <c:orientation val="minMax"/>
        </c:scaling>
        <c:delete val="0"/>
        <c:axPos val="b"/>
        <c:numFmt formatCode="General" sourceLinked="1"/>
        <c:majorTickMark val="none"/>
        <c:minorTickMark val="none"/>
        <c:tickLblPos val="nextTo"/>
        <c:spPr>
          <a:ln w="9360">
            <a:solidFill>
              <a:srgbClr val="B8C4C9"/>
            </a:solidFill>
            <a:round/>
          </a:ln>
        </c:spPr>
        <c:txPr>
          <a:bodyPr/>
          <a:lstStyle/>
          <a:p>
            <a:pPr>
              <a:defRPr sz="900" b="0" strike="noStrike" spc="-1">
                <a:solidFill>
                  <a:srgbClr val="1E2B30"/>
                </a:solidFill>
                <a:latin typeface="Arial"/>
              </a:defRPr>
            </a:pPr>
            <a:endParaRPr lang="en-US"/>
          </a:p>
        </c:txPr>
        <c:crossAx val="58840497"/>
        <c:crosses val="autoZero"/>
        <c:auto val="1"/>
        <c:lblAlgn val="ctr"/>
        <c:lblOffset val="100"/>
        <c:noMultiLvlLbl val="0"/>
      </c:catAx>
      <c:valAx>
        <c:axId val="58840497"/>
        <c:scaling>
          <c:orientation val="minMax"/>
          <c:max val="0.18"/>
          <c:min val="0"/>
        </c:scaling>
        <c:delete val="0"/>
        <c:axPos val="l"/>
        <c:majorGridlines>
          <c:spPr>
            <a:ln w="9360">
              <a:solidFill>
                <a:srgbClr val="E3E8EA"/>
              </a:solidFill>
              <a:round/>
            </a:ln>
          </c:spPr>
        </c:majorGridlines>
        <c:title>
          <c:tx>
            <c:rich>
              <a:bodyPr rot="-5400000"/>
              <a:lstStyle/>
              <a:p>
                <a:pPr>
                  <a:defRPr sz="900" b="0" strike="noStrike" spc="-1">
                    <a:solidFill>
                      <a:srgbClr val="6B7C85"/>
                    </a:solidFill>
                    <a:latin typeface="Arial"/>
                  </a:defRPr>
                </a:pPr>
                <a:r>
                  <a:rPr lang="en-IN" sz="900" b="0" strike="noStrike" spc="-1">
                    <a:solidFill>
                      <a:srgbClr val="6B7C85"/>
                    </a:solidFill>
                    <a:latin typeface="Arial"/>
                  </a:rPr>
                  <a:t>Solar ÷ total energy</a:t>
                </a:r>
              </a:p>
            </c:rich>
          </c:tx>
          <c:overlay val="0"/>
          <c:spPr>
            <a:noFill/>
            <a:ln w="0">
              <a:noFill/>
            </a:ln>
          </c:spPr>
        </c:title>
        <c:numFmt formatCode="0%" sourceLinked="0"/>
        <c:majorTickMark val="none"/>
        <c:minorTickMark val="none"/>
        <c:tickLblPos val="nextTo"/>
        <c:spPr>
          <a:ln w="9360">
            <a:noFill/>
          </a:ln>
        </c:spPr>
        <c:txPr>
          <a:bodyPr/>
          <a:lstStyle/>
          <a:p>
            <a:pPr>
              <a:defRPr sz="900" b="0" strike="noStrike" spc="-1">
                <a:solidFill>
                  <a:srgbClr val="1E2B30"/>
                </a:solidFill>
                <a:latin typeface="Arial"/>
              </a:defRPr>
            </a:pPr>
            <a:endParaRPr lang="en-US"/>
          </a:p>
        </c:txPr>
        <c:crossAx val="96819682"/>
        <c:crosses val="autoZero"/>
        <c:crossBetween val="between"/>
        <c:majorUnit val="0.03"/>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0"/>
        <c:ser>
          <c:idx val="0"/>
          <c:order val="0"/>
          <c:tx>
            <c:v>Production day</c:v>
          </c:tx>
          <c:spPr>
            <a:ln w="47520">
              <a:noFill/>
            </a:ln>
          </c:spPr>
          <c:marker>
            <c:symbol val="circle"/>
            <c:size val="5"/>
            <c:spPr>
              <a:solidFill>
                <a:srgbClr val="1F4E5A"/>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21960">
                <a:solidFill>
                  <a:srgbClr val="E8A33D"/>
                </a:solidFill>
                <a:prstDash val="dash"/>
                <a:round/>
              </a:ln>
            </c:spPr>
            <c:trendlineType val="linear"/>
            <c:dispRSqr val="0"/>
            <c:dispEq val="0"/>
          </c:trendline>
          <c:xVal>
            <c:numRef>
              <c:f>'Analysis Data'!$S$2:$S$314</c:f>
              <c:numCache>
                <c:formatCode>0.0</c:formatCode>
                <c:ptCount val="313"/>
                <c:pt idx="0">
                  <c:v>22.9</c:v>
                </c:pt>
                <c:pt idx="1">
                  <c:v>25.9</c:v>
                </c:pt>
                <c:pt idx="2">
                  <c:v>25.2</c:v>
                </c:pt>
                <c:pt idx="3">
                  <c:v>25</c:v>
                </c:pt>
                <c:pt idx="4">
                  <c:v>25.9</c:v>
                </c:pt>
                <c:pt idx="5">
                  <c:v>28.6</c:v>
                </c:pt>
                <c:pt idx="6">
                  <c:v>26.7</c:v>
                </c:pt>
                <c:pt idx="7">
                  <c:v>26.5</c:v>
                </c:pt>
                <c:pt idx="8">
                  <c:v>26.4</c:v>
                </c:pt>
                <c:pt idx="9">
                  <c:v>26.8</c:v>
                </c:pt>
                <c:pt idx="10">
                  <c:v>24</c:v>
                </c:pt>
                <c:pt idx="11">
                  <c:v>28.3</c:v>
                </c:pt>
                <c:pt idx="12">
                  <c:v>27.7</c:v>
                </c:pt>
                <c:pt idx="13">
                  <c:v>27.3</c:v>
                </c:pt>
                <c:pt idx="14">
                  <c:v>28.2</c:v>
                </c:pt>
                <c:pt idx="15">
                  <c:v>29.7</c:v>
                </c:pt>
                <c:pt idx="16">
                  <c:v>25.5</c:v>
                </c:pt>
                <c:pt idx="17">
                  <c:v>24.5</c:v>
                </c:pt>
                <c:pt idx="18">
                  <c:v>25.6</c:v>
                </c:pt>
                <c:pt idx="19">
                  <c:v>27.4</c:v>
                </c:pt>
                <c:pt idx="20">
                  <c:v>26.9</c:v>
                </c:pt>
                <c:pt idx="21">
                  <c:v>28.7</c:v>
                </c:pt>
                <c:pt idx="22">
                  <c:v>26.5</c:v>
                </c:pt>
                <c:pt idx="23">
                  <c:v>26.8</c:v>
                </c:pt>
                <c:pt idx="24">
                  <c:v>31.4</c:v>
                </c:pt>
                <c:pt idx="25">
                  <c:v>27.9</c:v>
                </c:pt>
                <c:pt idx="26">
                  <c:v>27</c:v>
                </c:pt>
                <c:pt idx="27">
                  <c:v>27.1</c:v>
                </c:pt>
                <c:pt idx="28">
                  <c:v>28.3</c:v>
                </c:pt>
                <c:pt idx="29">
                  <c:v>31.3</c:v>
                </c:pt>
                <c:pt idx="30">
                  <c:v>26.6</c:v>
                </c:pt>
                <c:pt idx="31">
                  <c:v>29.4</c:v>
                </c:pt>
                <c:pt idx="32">
                  <c:v>26</c:v>
                </c:pt>
                <c:pt idx="33">
                  <c:v>31</c:v>
                </c:pt>
                <c:pt idx="34">
                  <c:v>30.9</c:v>
                </c:pt>
                <c:pt idx="35">
                  <c:v>27.4</c:v>
                </c:pt>
                <c:pt idx="36">
                  <c:v>28.8</c:v>
                </c:pt>
                <c:pt idx="37">
                  <c:v>30.7</c:v>
                </c:pt>
                <c:pt idx="38">
                  <c:v>30.1</c:v>
                </c:pt>
                <c:pt idx="39">
                  <c:v>30</c:v>
                </c:pt>
                <c:pt idx="40">
                  <c:v>31.1</c:v>
                </c:pt>
                <c:pt idx="41">
                  <c:v>29.4</c:v>
                </c:pt>
                <c:pt idx="42">
                  <c:v>29.2</c:v>
                </c:pt>
                <c:pt idx="43">
                  <c:v>32.4</c:v>
                </c:pt>
                <c:pt idx="44">
                  <c:v>27.8</c:v>
                </c:pt>
                <c:pt idx="45">
                  <c:v>28.7</c:v>
                </c:pt>
                <c:pt idx="46">
                  <c:v>29.9</c:v>
                </c:pt>
                <c:pt idx="47">
                  <c:v>29.7</c:v>
                </c:pt>
                <c:pt idx="48">
                  <c:v>32</c:v>
                </c:pt>
                <c:pt idx="49">
                  <c:v>32.6</c:v>
                </c:pt>
                <c:pt idx="50">
                  <c:v>32.9</c:v>
                </c:pt>
                <c:pt idx="51">
                  <c:v>30.9</c:v>
                </c:pt>
                <c:pt idx="52">
                  <c:v>29.6</c:v>
                </c:pt>
                <c:pt idx="53">
                  <c:v>31.7</c:v>
                </c:pt>
                <c:pt idx="54">
                  <c:v>31.6</c:v>
                </c:pt>
                <c:pt idx="55">
                  <c:v>29.2</c:v>
                </c:pt>
                <c:pt idx="56">
                  <c:v>34.5</c:v>
                </c:pt>
                <c:pt idx="57">
                  <c:v>31.9</c:v>
                </c:pt>
                <c:pt idx="58">
                  <c:v>32</c:v>
                </c:pt>
                <c:pt idx="59">
                  <c:v>32.9</c:v>
                </c:pt>
                <c:pt idx="60">
                  <c:v>29.8</c:v>
                </c:pt>
                <c:pt idx="61">
                  <c:v>32.700000000000003</c:v>
                </c:pt>
                <c:pt idx="62">
                  <c:v>32.1</c:v>
                </c:pt>
                <c:pt idx="63">
                  <c:v>30.7</c:v>
                </c:pt>
                <c:pt idx="64">
                  <c:v>31.5</c:v>
                </c:pt>
                <c:pt idx="65">
                  <c:v>32.200000000000003</c:v>
                </c:pt>
                <c:pt idx="66">
                  <c:v>33</c:v>
                </c:pt>
                <c:pt idx="67">
                  <c:v>33</c:v>
                </c:pt>
                <c:pt idx="68">
                  <c:v>32.299999999999997</c:v>
                </c:pt>
                <c:pt idx="69">
                  <c:v>33.299999999999997</c:v>
                </c:pt>
                <c:pt idx="70">
                  <c:v>31.4</c:v>
                </c:pt>
                <c:pt idx="71">
                  <c:v>31.9</c:v>
                </c:pt>
                <c:pt idx="72">
                  <c:v>31.2</c:v>
                </c:pt>
                <c:pt idx="73">
                  <c:v>31.6</c:v>
                </c:pt>
                <c:pt idx="74">
                  <c:v>36.799999999999997</c:v>
                </c:pt>
                <c:pt idx="75">
                  <c:v>32.299999999999997</c:v>
                </c:pt>
                <c:pt idx="76">
                  <c:v>30.1</c:v>
                </c:pt>
                <c:pt idx="77">
                  <c:v>33</c:v>
                </c:pt>
                <c:pt idx="78">
                  <c:v>31.4</c:v>
                </c:pt>
                <c:pt idx="79">
                  <c:v>32</c:v>
                </c:pt>
                <c:pt idx="80">
                  <c:v>35.4</c:v>
                </c:pt>
                <c:pt idx="81">
                  <c:v>33.700000000000003</c:v>
                </c:pt>
                <c:pt idx="82">
                  <c:v>32.299999999999997</c:v>
                </c:pt>
                <c:pt idx="83">
                  <c:v>37</c:v>
                </c:pt>
                <c:pt idx="84">
                  <c:v>31.9</c:v>
                </c:pt>
                <c:pt idx="85">
                  <c:v>32.299999999999997</c:v>
                </c:pt>
                <c:pt idx="86">
                  <c:v>30.8</c:v>
                </c:pt>
                <c:pt idx="87">
                  <c:v>33</c:v>
                </c:pt>
                <c:pt idx="88">
                  <c:v>32.9</c:v>
                </c:pt>
                <c:pt idx="89">
                  <c:v>34.9</c:v>
                </c:pt>
                <c:pt idx="90">
                  <c:v>32.5</c:v>
                </c:pt>
                <c:pt idx="91">
                  <c:v>32.9</c:v>
                </c:pt>
                <c:pt idx="92">
                  <c:v>33.299999999999997</c:v>
                </c:pt>
                <c:pt idx="93">
                  <c:v>33.299999999999997</c:v>
                </c:pt>
                <c:pt idx="94">
                  <c:v>30</c:v>
                </c:pt>
                <c:pt idx="95">
                  <c:v>31.7</c:v>
                </c:pt>
                <c:pt idx="96">
                  <c:v>31.2</c:v>
                </c:pt>
                <c:pt idx="97">
                  <c:v>32.6</c:v>
                </c:pt>
                <c:pt idx="98">
                  <c:v>33.9</c:v>
                </c:pt>
                <c:pt idx="99">
                  <c:v>32.299999999999997</c:v>
                </c:pt>
                <c:pt idx="100">
                  <c:v>30.9</c:v>
                </c:pt>
                <c:pt idx="101">
                  <c:v>34.6</c:v>
                </c:pt>
                <c:pt idx="102">
                  <c:v>32.299999999999997</c:v>
                </c:pt>
                <c:pt idx="103">
                  <c:v>33.799999999999997</c:v>
                </c:pt>
                <c:pt idx="104">
                  <c:v>35.200000000000003</c:v>
                </c:pt>
                <c:pt idx="105">
                  <c:v>31.4</c:v>
                </c:pt>
                <c:pt idx="106">
                  <c:v>33.799999999999997</c:v>
                </c:pt>
                <c:pt idx="107">
                  <c:v>33.4</c:v>
                </c:pt>
                <c:pt idx="108">
                  <c:v>33.9</c:v>
                </c:pt>
                <c:pt idx="109">
                  <c:v>31.9</c:v>
                </c:pt>
                <c:pt idx="110">
                  <c:v>32.200000000000003</c:v>
                </c:pt>
                <c:pt idx="111">
                  <c:v>32.4</c:v>
                </c:pt>
                <c:pt idx="112">
                  <c:v>31.1</c:v>
                </c:pt>
                <c:pt idx="113">
                  <c:v>33.1</c:v>
                </c:pt>
                <c:pt idx="114">
                  <c:v>32.9</c:v>
                </c:pt>
                <c:pt idx="115">
                  <c:v>31.9</c:v>
                </c:pt>
                <c:pt idx="116">
                  <c:v>33.700000000000003</c:v>
                </c:pt>
                <c:pt idx="117">
                  <c:v>29.2</c:v>
                </c:pt>
                <c:pt idx="118">
                  <c:v>32.200000000000003</c:v>
                </c:pt>
                <c:pt idx="119">
                  <c:v>32.299999999999997</c:v>
                </c:pt>
                <c:pt idx="120">
                  <c:v>31.4</c:v>
                </c:pt>
                <c:pt idx="121">
                  <c:v>33.200000000000003</c:v>
                </c:pt>
                <c:pt idx="122">
                  <c:v>33.4</c:v>
                </c:pt>
                <c:pt idx="123">
                  <c:v>31.3</c:v>
                </c:pt>
                <c:pt idx="124">
                  <c:v>34.299999999999997</c:v>
                </c:pt>
                <c:pt idx="125">
                  <c:v>33</c:v>
                </c:pt>
                <c:pt idx="126">
                  <c:v>28.4</c:v>
                </c:pt>
                <c:pt idx="127">
                  <c:v>32.200000000000003</c:v>
                </c:pt>
                <c:pt idx="128">
                  <c:v>32.200000000000003</c:v>
                </c:pt>
                <c:pt idx="129">
                  <c:v>30.7</c:v>
                </c:pt>
                <c:pt idx="130">
                  <c:v>31.3</c:v>
                </c:pt>
                <c:pt idx="131">
                  <c:v>34.4</c:v>
                </c:pt>
                <c:pt idx="132">
                  <c:v>32</c:v>
                </c:pt>
                <c:pt idx="133">
                  <c:v>28.5</c:v>
                </c:pt>
                <c:pt idx="134">
                  <c:v>31.7</c:v>
                </c:pt>
                <c:pt idx="135">
                  <c:v>34</c:v>
                </c:pt>
                <c:pt idx="136">
                  <c:v>34.200000000000003</c:v>
                </c:pt>
                <c:pt idx="137">
                  <c:v>32.1</c:v>
                </c:pt>
                <c:pt idx="138">
                  <c:v>30.5</c:v>
                </c:pt>
                <c:pt idx="139">
                  <c:v>30.8</c:v>
                </c:pt>
                <c:pt idx="140">
                  <c:v>31.4</c:v>
                </c:pt>
                <c:pt idx="141">
                  <c:v>30</c:v>
                </c:pt>
                <c:pt idx="142">
                  <c:v>29.7</c:v>
                </c:pt>
                <c:pt idx="143">
                  <c:v>30.5</c:v>
                </c:pt>
                <c:pt idx="144">
                  <c:v>28.5</c:v>
                </c:pt>
                <c:pt idx="145">
                  <c:v>28.8</c:v>
                </c:pt>
                <c:pt idx="146">
                  <c:v>28.3</c:v>
                </c:pt>
                <c:pt idx="147">
                  <c:v>29.1</c:v>
                </c:pt>
                <c:pt idx="148">
                  <c:v>27.3</c:v>
                </c:pt>
                <c:pt idx="149">
                  <c:v>30.3</c:v>
                </c:pt>
                <c:pt idx="150">
                  <c:v>34.1</c:v>
                </c:pt>
                <c:pt idx="151">
                  <c:v>27.5</c:v>
                </c:pt>
                <c:pt idx="152">
                  <c:v>32.200000000000003</c:v>
                </c:pt>
                <c:pt idx="153">
                  <c:v>27.4</c:v>
                </c:pt>
                <c:pt idx="154">
                  <c:v>29.4</c:v>
                </c:pt>
                <c:pt idx="155">
                  <c:v>28.7</c:v>
                </c:pt>
                <c:pt idx="156">
                  <c:v>27.7</c:v>
                </c:pt>
                <c:pt idx="157">
                  <c:v>24.8</c:v>
                </c:pt>
                <c:pt idx="158">
                  <c:v>29.3</c:v>
                </c:pt>
                <c:pt idx="159">
                  <c:v>31</c:v>
                </c:pt>
                <c:pt idx="160">
                  <c:v>29.2</c:v>
                </c:pt>
                <c:pt idx="161">
                  <c:v>29.2</c:v>
                </c:pt>
                <c:pt idx="162">
                  <c:v>28.6</c:v>
                </c:pt>
                <c:pt idx="163">
                  <c:v>30.8</c:v>
                </c:pt>
                <c:pt idx="164">
                  <c:v>27.8</c:v>
                </c:pt>
                <c:pt idx="165">
                  <c:v>28.6</c:v>
                </c:pt>
                <c:pt idx="166">
                  <c:v>26.8</c:v>
                </c:pt>
                <c:pt idx="167">
                  <c:v>29.8</c:v>
                </c:pt>
                <c:pt idx="168">
                  <c:v>27.3</c:v>
                </c:pt>
                <c:pt idx="169">
                  <c:v>30.2</c:v>
                </c:pt>
                <c:pt idx="170">
                  <c:v>28.5</c:v>
                </c:pt>
                <c:pt idx="171">
                  <c:v>25.8</c:v>
                </c:pt>
                <c:pt idx="172">
                  <c:v>25.7</c:v>
                </c:pt>
                <c:pt idx="173">
                  <c:v>27.3</c:v>
                </c:pt>
                <c:pt idx="174">
                  <c:v>24.9</c:v>
                </c:pt>
                <c:pt idx="175">
                  <c:v>28.7</c:v>
                </c:pt>
                <c:pt idx="176">
                  <c:v>25.8</c:v>
                </c:pt>
                <c:pt idx="177">
                  <c:v>26.9</c:v>
                </c:pt>
                <c:pt idx="178">
                  <c:v>26.2</c:v>
                </c:pt>
                <c:pt idx="179">
                  <c:v>24.8</c:v>
                </c:pt>
                <c:pt idx="180">
                  <c:v>26.6</c:v>
                </c:pt>
                <c:pt idx="181">
                  <c:v>25.1</c:v>
                </c:pt>
                <c:pt idx="182">
                  <c:v>24.9</c:v>
                </c:pt>
                <c:pt idx="183">
                  <c:v>27.3</c:v>
                </c:pt>
                <c:pt idx="184">
                  <c:v>27.6</c:v>
                </c:pt>
                <c:pt idx="185">
                  <c:v>24.9</c:v>
                </c:pt>
                <c:pt idx="186">
                  <c:v>24.7</c:v>
                </c:pt>
                <c:pt idx="187">
                  <c:v>26.3</c:v>
                </c:pt>
                <c:pt idx="188">
                  <c:v>26</c:v>
                </c:pt>
                <c:pt idx="189">
                  <c:v>26.8</c:v>
                </c:pt>
                <c:pt idx="190">
                  <c:v>23.5</c:v>
                </c:pt>
                <c:pt idx="191">
                  <c:v>23.5</c:v>
                </c:pt>
                <c:pt idx="192">
                  <c:v>25.2</c:v>
                </c:pt>
                <c:pt idx="193">
                  <c:v>21.9</c:v>
                </c:pt>
                <c:pt idx="194">
                  <c:v>25.1</c:v>
                </c:pt>
                <c:pt idx="195">
                  <c:v>23.2</c:v>
                </c:pt>
                <c:pt idx="196">
                  <c:v>23.3</c:v>
                </c:pt>
                <c:pt idx="197">
                  <c:v>22.8</c:v>
                </c:pt>
                <c:pt idx="198">
                  <c:v>23.7</c:v>
                </c:pt>
                <c:pt idx="199">
                  <c:v>25.6</c:v>
                </c:pt>
                <c:pt idx="200">
                  <c:v>24.8</c:v>
                </c:pt>
                <c:pt idx="201">
                  <c:v>25.5</c:v>
                </c:pt>
                <c:pt idx="202">
                  <c:v>25.1</c:v>
                </c:pt>
                <c:pt idx="203">
                  <c:v>25.5</c:v>
                </c:pt>
                <c:pt idx="204">
                  <c:v>21.2</c:v>
                </c:pt>
                <c:pt idx="205">
                  <c:v>23.8</c:v>
                </c:pt>
                <c:pt idx="206">
                  <c:v>24.2</c:v>
                </c:pt>
                <c:pt idx="207">
                  <c:v>22.7</c:v>
                </c:pt>
                <c:pt idx="208">
                  <c:v>20.6</c:v>
                </c:pt>
                <c:pt idx="209">
                  <c:v>24.2</c:v>
                </c:pt>
                <c:pt idx="210">
                  <c:v>25.6</c:v>
                </c:pt>
                <c:pt idx="211">
                  <c:v>20.8</c:v>
                </c:pt>
                <c:pt idx="212">
                  <c:v>22.6</c:v>
                </c:pt>
                <c:pt idx="213">
                  <c:v>23.4</c:v>
                </c:pt>
                <c:pt idx="214">
                  <c:v>23</c:v>
                </c:pt>
                <c:pt idx="215">
                  <c:v>23.5</c:v>
                </c:pt>
                <c:pt idx="216">
                  <c:v>22.1</c:v>
                </c:pt>
                <c:pt idx="217">
                  <c:v>22.1</c:v>
                </c:pt>
                <c:pt idx="218">
                  <c:v>25.1</c:v>
                </c:pt>
                <c:pt idx="219">
                  <c:v>23.4</c:v>
                </c:pt>
                <c:pt idx="220">
                  <c:v>22.1</c:v>
                </c:pt>
                <c:pt idx="221">
                  <c:v>21.6</c:v>
                </c:pt>
                <c:pt idx="222">
                  <c:v>20.5</c:v>
                </c:pt>
                <c:pt idx="223">
                  <c:v>21.9</c:v>
                </c:pt>
                <c:pt idx="224">
                  <c:v>23.9</c:v>
                </c:pt>
                <c:pt idx="225">
                  <c:v>21.7</c:v>
                </c:pt>
                <c:pt idx="226">
                  <c:v>22.3</c:v>
                </c:pt>
                <c:pt idx="227">
                  <c:v>22.8</c:v>
                </c:pt>
                <c:pt idx="228">
                  <c:v>21</c:v>
                </c:pt>
                <c:pt idx="229">
                  <c:v>24.4</c:v>
                </c:pt>
                <c:pt idx="230">
                  <c:v>20.8</c:v>
                </c:pt>
                <c:pt idx="231">
                  <c:v>22.2</c:v>
                </c:pt>
                <c:pt idx="232">
                  <c:v>23.6</c:v>
                </c:pt>
                <c:pt idx="233">
                  <c:v>19.100000000000001</c:v>
                </c:pt>
                <c:pt idx="234">
                  <c:v>20.9</c:v>
                </c:pt>
                <c:pt idx="235">
                  <c:v>19.100000000000001</c:v>
                </c:pt>
                <c:pt idx="236">
                  <c:v>25</c:v>
                </c:pt>
                <c:pt idx="237">
                  <c:v>19.7</c:v>
                </c:pt>
                <c:pt idx="238">
                  <c:v>21.5</c:v>
                </c:pt>
                <c:pt idx="239">
                  <c:v>24</c:v>
                </c:pt>
                <c:pt idx="240">
                  <c:v>19.2</c:v>
                </c:pt>
                <c:pt idx="241">
                  <c:v>23</c:v>
                </c:pt>
                <c:pt idx="242">
                  <c:v>22</c:v>
                </c:pt>
                <c:pt idx="243">
                  <c:v>19.100000000000001</c:v>
                </c:pt>
                <c:pt idx="244">
                  <c:v>22.4</c:v>
                </c:pt>
                <c:pt idx="245">
                  <c:v>21.3</c:v>
                </c:pt>
                <c:pt idx="246">
                  <c:v>19</c:v>
                </c:pt>
                <c:pt idx="247">
                  <c:v>21.7</c:v>
                </c:pt>
                <c:pt idx="248">
                  <c:v>21.7</c:v>
                </c:pt>
                <c:pt idx="249">
                  <c:v>20.7</c:v>
                </c:pt>
                <c:pt idx="250">
                  <c:v>20.3</c:v>
                </c:pt>
                <c:pt idx="251">
                  <c:v>21</c:v>
                </c:pt>
                <c:pt idx="252">
                  <c:v>20</c:v>
                </c:pt>
                <c:pt idx="253">
                  <c:v>23.4</c:v>
                </c:pt>
                <c:pt idx="254">
                  <c:v>22.5</c:v>
                </c:pt>
                <c:pt idx="255">
                  <c:v>19.399999999999999</c:v>
                </c:pt>
                <c:pt idx="256">
                  <c:v>18.100000000000001</c:v>
                </c:pt>
                <c:pt idx="257">
                  <c:v>21.3</c:v>
                </c:pt>
                <c:pt idx="258">
                  <c:v>18.5</c:v>
                </c:pt>
                <c:pt idx="259">
                  <c:v>18.8</c:v>
                </c:pt>
                <c:pt idx="260">
                  <c:v>19.899999999999999</c:v>
                </c:pt>
                <c:pt idx="261">
                  <c:v>22.4</c:v>
                </c:pt>
                <c:pt idx="262">
                  <c:v>21.4</c:v>
                </c:pt>
                <c:pt idx="263">
                  <c:v>20.7</c:v>
                </c:pt>
                <c:pt idx="264">
                  <c:v>19.7</c:v>
                </c:pt>
                <c:pt idx="265">
                  <c:v>22.2</c:v>
                </c:pt>
                <c:pt idx="266">
                  <c:v>19.100000000000001</c:v>
                </c:pt>
                <c:pt idx="267">
                  <c:v>21.3</c:v>
                </c:pt>
                <c:pt idx="268">
                  <c:v>20.8</c:v>
                </c:pt>
                <c:pt idx="269">
                  <c:v>20.7</c:v>
                </c:pt>
                <c:pt idx="270">
                  <c:v>20.399999999999999</c:v>
                </c:pt>
                <c:pt idx="271">
                  <c:v>18.399999999999999</c:v>
                </c:pt>
                <c:pt idx="272">
                  <c:v>23.2</c:v>
                </c:pt>
                <c:pt idx="273">
                  <c:v>20.9</c:v>
                </c:pt>
                <c:pt idx="274">
                  <c:v>21.1</c:v>
                </c:pt>
                <c:pt idx="275">
                  <c:v>23.5</c:v>
                </c:pt>
                <c:pt idx="276">
                  <c:v>21.8</c:v>
                </c:pt>
                <c:pt idx="277">
                  <c:v>21.2</c:v>
                </c:pt>
                <c:pt idx="278">
                  <c:v>21.8</c:v>
                </c:pt>
                <c:pt idx="279">
                  <c:v>22.4</c:v>
                </c:pt>
                <c:pt idx="280">
                  <c:v>22.4</c:v>
                </c:pt>
                <c:pt idx="281">
                  <c:v>18</c:v>
                </c:pt>
                <c:pt idx="282">
                  <c:v>22.9</c:v>
                </c:pt>
                <c:pt idx="283">
                  <c:v>22.9</c:v>
                </c:pt>
                <c:pt idx="284">
                  <c:v>23.3</c:v>
                </c:pt>
                <c:pt idx="285">
                  <c:v>22.2</c:v>
                </c:pt>
                <c:pt idx="286">
                  <c:v>22.9</c:v>
                </c:pt>
                <c:pt idx="287">
                  <c:v>24.7</c:v>
                </c:pt>
                <c:pt idx="288">
                  <c:v>21.8</c:v>
                </c:pt>
                <c:pt idx="289">
                  <c:v>26.1</c:v>
                </c:pt>
                <c:pt idx="290">
                  <c:v>23.1</c:v>
                </c:pt>
                <c:pt idx="291">
                  <c:v>22.3</c:v>
                </c:pt>
                <c:pt idx="292">
                  <c:v>23.8</c:v>
                </c:pt>
                <c:pt idx="293">
                  <c:v>24.7</c:v>
                </c:pt>
                <c:pt idx="294">
                  <c:v>24.1</c:v>
                </c:pt>
                <c:pt idx="295">
                  <c:v>22</c:v>
                </c:pt>
                <c:pt idx="296">
                  <c:v>21.9</c:v>
                </c:pt>
                <c:pt idx="297">
                  <c:v>20.100000000000001</c:v>
                </c:pt>
                <c:pt idx="298">
                  <c:v>24.4</c:v>
                </c:pt>
                <c:pt idx="299">
                  <c:v>22.7</c:v>
                </c:pt>
                <c:pt idx="300">
                  <c:v>24.1</c:v>
                </c:pt>
                <c:pt idx="301">
                  <c:v>23.8</c:v>
                </c:pt>
                <c:pt idx="302">
                  <c:v>21.7</c:v>
                </c:pt>
                <c:pt idx="303">
                  <c:v>25.9</c:v>
                </c:pt>
                <c:pt idx="304">
                  <c:v>23.9</c:v>
                </c:pt>
                <c:pt idx="305">
                  <c:v>27.2</c:v>
                </c:pt>
                <c:pt idx="306">
                  <c:v>26</c:v>
                </c:pt>
                <c:pt idx="307">
                  <c:v>25.3</c:v>
                </c:pt>
                <c:pt idx="308">
                  <c:v>28.4</c:v>
                </c:pt>
                <c:pt idx="309">
                  <c:v>25.6</c:v>
                </c:pt>
                <c:pt idx="310">
                  <c:v>24.3</c:v>
                </c:pt>
                <c:pt idx="311">
                  <c:v>24</c:v>
                </c:pt>
                <c:pt idx="312">
                  <c:v>23.7</c:v>
                </c:pt>
              </c:numCache>
            </c:numRef>
          </c:xVal>
          <c:yVal>
            <c:numRef>
              <c:f>'Analysis Data'!$T$2:$T$314</c:f>
              <c:numCache>
                <c:formatCode>#,##0</c:formatCode>
                <c:ptCount val="313"/>
                <c:pt idx="0">
                  <c:v>13109</c:v>
                </c:pt>
                <c:pt idx="1">
                  <c:v>11253</c:v>
                </c:pt>
                <c:pt idx="2">
                  <c:v>13117</c:v>
                </c:pt>
                <c:pt idx="3">
                  <c:v>14243</c:v>
                </c:pt>
                <c:pt idx="4">
                  <c:v>13646</c:v>
                </c:pt>
                <c:pt idx="5">
                  <c:v>13371</c:v>
                </c:pt>
                <c:pt idx="6">
                  <c:v>14038</c:v>
                </c:pt>
                <c:pt idx="7">
                  <c:v>14557</c:v>
                </c:pt>
                <c:pt idx="8">
                  <c:v>12029</c:v>
                </c:pt>
                <c:pt idx="9">
                  <c:v>14225</c:v>
                </c:pt>
                <c:pt idx="10">
                  <c:v>13195</c:v>
                </c:pt>
                <c:pt idx="11">
                  <c:v>13363</c:v>
                </c:pt>
                <c:pt idx="12">
                  <c:v>12128</c:v>
                </c:pt>
                <c:pt idx="13">
                  <c:v>13753</c:v>
                </c:pt>
                <c:pt idx="14">
                  <c:v>13112</c:v>
                </c:pt>
                <c:pt idx="15">
                  <c:v>14054</c:v>
                </c:pt>
                <c:pt idx="16">
                  <c:v>13659</c:v>
                </c:pt>
                <c:pt idx="17">
                  <c:v>14126</c:v>
                </c:pt>
                <c:pt idx="18">
                  <c:v>13865</c:v>
                </c:pt>
                <c:pt idx="19">
                  <c:v>12759</c:v>
                </c:pt>
                <c:pt idx="20">
                  <c:v>12903</c:v>
                </c:pt>
                <c:pt idx="21">
                  <c:v>14239</c:v>
                </c:pt>
                <c:pt idx="22">
                  <c:v>12884</c:v>
                </c:pt>
                <c:pt idx="23">
                  <c:v>12611</c:v>
                </c:pt>
                <c:pt idx="24">
                  <c:v>14222</c:v>
                </c:pt>
                <c:pt idx="25">
                  <c:v>14680</c:v>
                </c:pt>
                <c:pt idx="26">
                  <c:v>13765</c:v>
                </c:pt>
                <c:pt idx="27">
                  <c:v>14044</c:v>
                </c:pt>
                <c:pt idx="28">
                  <c:v>14243</c:v>
                </c:pt>
                <c:pt idx="29">
                  <c:v>14965</c:v>
                </c:pt>
                <c:pt idx="30">
                  <c:v>13510</c:v>
                </c:pt>
                <c:pt idx="31">
                  <c:v>14061</c:v>
                </c:pt>
                <c:pt idx="32">
                  <c:v>12203</c:v>
                </c:pt>
                <c:pt idx="33">
                  <c:v>15945</c:v>
                </c:pt>
                <c:pt idx="34">
                  <c:v>13684</c:v>
                </c:pt>
                <c:pt idx="35">
                  <c:v>13740</c:v>
                </c:pt>
                <c:pt idx="36">
                  <c:v>14135</c:v>
                </c:pt>
                <c:pt idx="37">
                  <c:v>15845</c:v>
                </c:pt>
                <c:pt idx="38">
                  <c:v>15860</c:v>
                </c:pt>
                <c:pt idx="39">
                  <c:v>14578</c:v>
                </c:pt>
                <c:pt idx="40">
                  <c:v>14455</c:v>
                </c:pt>
                <c:pt idx="41">
                  <c:v>13522</c:v>
                </c:pt>
                <c:pt idx="42">
                  <c:v>13765</c:v>
                </c:pt>
                <c:pt idx="43">
                  <c:v>13753</c:v>
                </c:pt>
                <c:pt idx="44">
                  <c:v>13308</c:v>
                </c:pt>
                <c:pt idx="45">
                  <c:v>13898</c:v>
                </c:pt>
                <c:pt idx="46">
                  <c:v>14014</c:v>
                </c:pt>
                <c:pt idx="47">
                  <c:v>14441</c:v>
                </c:pt>
                <c:pt idx="48">
                  <c:v>14835</c:v>
                </c:pt>
                <c:pt idx="49">
                  <c:v>15160</c:v>
                </c:pt>
                <c:pt idx="50">
                  <c:v>14777</c:v>
                </c:pt>
                <c:pt idx="51">
                  <c:v>13324</c:v>
                </c:pt>
                <c:pt idx="52">
                  <c:v>15045</c:v>
                </c:pt>
                <c:pt idx="53">
                  <c:v>14278</c:v>
                </c:pt>
                <c:pt idx="54">
                  <c:v>13583</c:v>
                </c:pt>
                <c:pt idx="55">
                  <c:v>12684</c:v>
                </c:pt>
                <c:pt idx="56">
                  <c:v>15128</c:v>
                </c:pt>
                <c:pt idx="57">
                  <c:v>13493</c:v>
                </c:pt>
                <c:pt idx="58">
                  <c:v>14480</c:v>
                </c:pt>
                <c:pt idx="59">
                  <c:v>13655</c:v>
                </c:pt>
                <c:pt idx="60">
                  <c:v>13129</c:v>
                </c:pt>
                <c:pt idx="61">
                  <c:v>13202</c:v>
                </c:pt>
                <c:pt idx="62">
                  <c:v>14879</c:v>
                </c:pt>
                <c:pt idx="63">
                  <c:v>12831</c:v>
                </c:pt>
                <c:pt idx="64">
                  <c:v>13296</c:v>
                </c:pt>
                <c:pt idx="65">
                  <c:v>13955</c:v>
                </c:pt>
                <c:pt idx="66">
                  <c:v>13351</c:v>
                </c:pt>
                <c:pt idx="67">
                  <c:v>14521</c:v>
                </c:pt>
                <c:pt idx="68">
                  <c:v>13913</c:v>
                </c:pt>
                <c:pt idx="69">
                  <c:v>13734</c:v>
                </c:pt>
                <c:pt idx="70">
                  <c:v>14112</c:v>
                </c:pt>
                <c:pt idx="71">
                  <c:v>13557</c:v>
                </c:pt>
                <c:pt idx="72">
                  <c:v>14737</c:v>
                </c:pt>
                <c:pt idx="73">
                  <c:v>13717</c:v>
                </c:pt>
                <c:pt idx="74">
                  <c:v>14155</c:v>
                </c:pt>
                <c:pt idx="75">
                  <c:v>14306</c:v>
                </c:pt>
                <c:pt idx="76">
                  <c:v>14083</c:v>
                </c:pt>
                <c:pt idx="77">
                  <c:v>13509</c:v>
                </c:pt>
                <c:pt idx="78">
                  <c:v>13293</c:v>
                </c:pt>
                <c:pt idx="79">
                  <c:v>14184</c:v>
                </c:pt>
                <c:pt idx="80">
                  <c:v>14877</c:v>
                </c:pt>
                <c:pt idx="81">
                  <c:v>13559</c:v>
                </c:pt>
                <c:pt idx="82">
                  <c:v>12518</c:v>
                </c:pt>
                <c:pt idx="83">
                  <c:v>14839</c:v>
                </c:pt>
                <c:pt idx="84">
                  <c:v>13183</c:v>
                </c:pt>
                <c:pt idx="85">
                  <c:v>12488</c:v>
                </c:pt>
                <c:pt idx="86">
                  <c:v>13386</c:v>
                </c:pt>
                <c:pt idx="87">
                  <c:v>13488</c:v>
                </c:pt>
                <c:pt idx="88">
                  <c:v>15913</c:v>
                </c:pt>
                <c:pt idx="89">
                  <c:v>14186</c:v>
                </c:pt>
                <c:pt idx="90">
                  <c:v>13353</c:v>
                </c:pt>
                <c:pt idx="91">
                  <c:v>14471</c:v>
                </c:pt>
                <c:pt idx="92">
                  <c:v>13539</c:v>
                </c:pt>
                <c:pt idx="93">
                  <c:v>13391</c:v>
                </c:pt>
                <c:pt idx="94">
                  <c:v>11979</c:v>
                </c:pt>
                <c:pt idx="95">
                  <c:v>14884</c:v>
                </c:pt>
                <c:pt idx="96">
                  <c:v>13339</c:v>
                </c:pt>
                <c:pt idx="97">
                  <c:v>14190</c:v>
                </c:pt>
                <c:pt idx="98">
                  <c:v>13382</c:v>
                </c:pt>
                <c:pt idx="99">
                  <c:v>15272</c:v>
                </c:pt>
                <c:pt idx="100">
                  <c:v>13114</c:v>
                </c:pt>
                <c:pt idx="101">
                  <c:v>13213</c:v>
                </c:pt>
                <c:pt idx="102">
                  <c:v>12898</c:v>
                </c:pt>
                <c:pt idx="103">
                  <c:v>14194</c:v>
                </c:pt>
                <c:pt idx="104">
                  <c:v>13932</c:v>
                </c:pt>
                <c:pt idx="105">
                  <c:v>12869</c:v>
                </c:pt>
                <c:pt idx="106">
                  <c:v>15707</c:v>
                </c:pt>
                <c:pt idx="107">
                  <c:v>15121</c:v>
                </c:pt>
                <c:pt idx="108">
                  <c:v>14063</c:v>
                </c:pt>
                <c:pt idx="109">
                  <c:v>14072</c:v>
                </c:pt>
                <c:pt idx="110">
                  <c:v>13244</c:v>
                </c:pt>
                <c:pt idx="111">
                  <c:v>13707</c:v>
                </c:pt>
                <c:pt idx="112">
                  <c:v>13514</c:v>
                </c:pt>
                <c:pt idx="113">
                  <c:v>14043</c:v>
                </c:pt>
                <c:pt idx="114">
                  <c:v>14021</c:v>
                </c:pt>
                <c:pt idx="115">
                  <c:v>13637</c:v>
                </c:pt>
                <c:pt idx="116">
                  <c:v>14043</c:v>
                </c:pt>
                <c:pt idx="117">
                  <c:v>14236</c:v>
                </c:pt>
                <c:pt idx="118">
                  <c:v>15592</c:v>
                </c:pt>
                <c:pt idx="119">
                  <c:v>12412</c:v>
                </c:pt>
                <c:pt idx="120">
                  <c:v>12398</c:v>
                </c:pt>
                <c:pt idx="121">
                  <c:v>14344</c:v>
                </c:pt>
                <c:pt idx="122">
                  <c:v>14229</c:v>
                </c:pt>
                <c:pt idx="123">
                  <c:v>12861</c:v>
                </c:pt>
                <c:pt idx="124">
                  <c:v>16356</c:v>
                </c:pt>
                <c:pt idx="125">
                  <c:v>14881</c:v>
                </c:pt>
                <c:pt idx="126">
                  <c:v>12445</c:v>
                </c:pt>
                <c:pt idx="127">
                  <c:v>12500</c:v>
                </c:pt>
                <c:pt idx="128">
                  <c:v>13820</c:v>
                </c:pt>
                <c:pt idx="129">
                  <c:v>13291</c:v>
                </c:pt>
                <c:pt idx="130">
                  <c:v>12977</c:v>
                </c:pt>
                <c:pt idx="131">
                  <c:v>15427</c:v>
                </c:pt>
                <c:pt idx="132">
                  <c:v>13532</c:v>
                </c:pt>
                <c:pt idx="133">
                  <c:v>11824</c:v>
                </c:pt>
                <c:pt idx="134">
                  <c:v>15511</c:v>
                </c:pt>
                <c:pt idx="135">
                  <c:v>13425</c:v>
                </c:pt>
                <c:pt idx="136">
                  <c:v>14257</c:v>
                </c:pt>
                <c:pt idx="137">
                  <c:v>13385</c:v>
                </c:pt>
                <c:pt idx="138">
                  <c:v>13545</c:v>
                </c:pt>
                <c:pt idx="139">
                  <c:v>13871</c:v>
                </c:pt>
                <c:pt idx="140">
                  <c:v>13854</c:v>
                </c:pt>
                <c:pt idx="141">
                  <c:v>13931</c:v>
                </c:pt>
                <c:pt idx="142">
                  <c:v>12827</c:v>
                </c:pt>
                <c:pt idx="143">
                  <c:v>13749</c:v>
                </c:pt>
                <c:pt idx="144">
                  <c:v>12334</c:v>
                </c:pt>
                <c:pt idx="145">
                  <c:v>14370</c:v>
                </c:pt>
                <c:pt idx="146">
                  <c:v>11380</c:v>
                </c:pt>
                <c:pt idx="147">
                  <c:v>13143</c:v>
                </c:pt>
                <c:pt idx="148">
                  <c:v>13540</c:v>
                </c:pt>
                <c:pt idx="149">
                  <c:v>13073</c:v>
                </c:pt>
                <c:pt idx="150">
                  <c:v>14936</c:v>
                </c:pt>
                <c:pt idx="151">
                  <c:v>10840</c:v>
                </c:pt>
                <c:pt idx="152">
                  <c:v>13462</c:v>
                </c:pt>
                <c:pt idx="153">
                  <c:v>13461</c:v>
                </c:pt>
                <c:pt idx="154">
                  <c:v>13313</c:v>
                </c:pt>
                <c:pt idx="155">
                  <c:v>13955</c:v>
                </c:pt>
                <c:pt idx="156">
                  <c:v>11984</c:v>
                </c:pt>
                <c:pt idx="157">
                  <c:v>14807</c:v>
                </c:pt>
                <c:pt idx="158">
                  <c:v>13890</c:v>
                </c:pt>
                <c:pt idx="159">
                  <c:v>13107</c:v>
                </c:pt>
                <c:pt idx="160">
                  <c:v>12035</c:v>
                </c:pt>
                <c:pt idx="161">
                  <c:v>14544</c:v>
                </c:pt>
                <c:pt idx="162">
                  <c:v>11590</c:v>
                </c:pt>
                <c:pt idx="163">
                  <c:v>15293</c:v>
                </c:pt>
                <c:pt idx="164">
                  <c:v>13356</c:v>
                </c:pt>
                <c:pt idx="165">
                  <c:v>13452</c:v>
                </c:pt>
                <c:pt idx="166">
                  <c:v>12952</c:v>
                </c:pt>
                <c:pt idx="167">
                  <c:v>14015</c:v>
                </c:pt>
                <c:pt idx="168">
                  <c:v>14141</c:v>
                </c:pt>
                <c:pt idx="169">
                  <c:v>15131</c:v>
                </c:pt>
                <c:pt idx="170">
                  <c:v>14056</c:v>
                </c:pt>
                <c:pt idx="171">
                  <c:v>14473</c:v>
                </c:pt>
                <c:pt idx="172">
                  <c:v>13758</c:v>
                </c:pt>
                <c:pt idx="173">
                  <c:v>16192</c:v>
                </c:pt>
                <c:pt idx="174">
                  <c:v>14534</c:v>
                </c:pt>
                <c:pt idx="175">
                  <c:v>12679</c:v>
                </c:pt>
                <c:pt idx="176">
                  <c:v>14120</c:v>
                </c:pt>
                <c:pt idx="177">
                  <c:v>13858</c:v>
                </c:pt>
                <c:pt idx="178">
                  <c:v>13251</c:v>
                </c:pt>
                <c:pt idx="179">
                  <c:v>14071</c:v>
                </c:pt>
                <c:pt idx="180">
                  <c:v>12796</c:v>
                </c:pt>
                <c:pt idx="181">
                  <c:v>13567</c:v>
                </c:pt>
                <c:pt idx="182">
                  <c:v>13646</c:v>
                </c:pt>
                <c:pt idx="183">
                  <c:v>14151</c:v>
                </c:pt>
                <c:pt idx="184">
                  <c:v>13210</c:v>
                </c:pt>
                <c:pt idx="185">
                  <c:v>12935</c:v>
                </c:pt>
                <c:pt idx="186">
                  <c:v>15031</c:v>
                </c:pt>
                <c:pt idx="187">
                  <c:v>12877</c:v>
                </c:pt>
                <c:pt idx="188">
                  <c:v>14765</c:v>
                </c:pt>
                <c:pt idx="189">
                  <c:v>14300</c:v>
                </c:pt>
                <c:pt idx="190">
                  <c:v>13479</c:v>
                </c:pt>
                <c:pt idx="191">
                  <c:v>14423</c:v>
                </c:pt>
                <c:pt idx="192">
                  <c:v>12488</c:v>
                </c:pt>
                <c:pt idx="193">
                  <c:v>13436</c:v>
                </c:pt>
                <c:pt idx="194">
                  <c:v>12528</c:v>
                </c:pt>
                <c:pt idx="195">
                  <c:v>13335</c:v>
                </c:pt>
                <c:pt idx="196">
                  <c:v>13903</c:v>
                </c:pt>
                <c:pt idx="197">
                  <c:v>12465</c:v>
                </c:pt>
                <c:pt idx="198">
                  <c:v>14532</c:v>
                </c:pt>
                <c:pt idx="199">
                  <c:v>13013</c:v>
                </c:pt>
                <c:pt idx="200">
                  <c:v>12358</c:v>
                </c:pt>
                <c:pt idx="201">
                  <c:v>13266</c:v>
                </c:pt>
                <c:pt idx="202">
                  <c:v>13713</c:v>
                </c:pt>
                <c:pt idx="203">
                  <c:v>13798</c:v>
                </c:pt>
                <c:pt idx="204">
                  <c:v>13730</c:v>
                </c:pt>
                <c:pt idx="205">
                  <c:v>13888</c:v>
                </c:pt>
                <c:pt idx="206">
                  <c:v>13915</c:v>
                </c:pt>
                <c:pt idx="207">
                  <c:v>12300</c:v>
                </c:pt>
                <c:pt idx="208">
                  <c:v>13668</c:v>
                </c:pt>
                <c:pt idx="209">
                  <c:v>13931</c:v>
                </c:pt>
                <c:pt idx="210">
                  <c:v>14270</c:v>
                </c:pt>
                <c:pt idx="211">
                  <c:v>13922</c:v>
                </c:pt>
                <c:pt idx="212">
                  <c:v>12099</c:v>
                </c:pt>
                <c:pt idx="213">
                  <c:v>13535</c:v>
                </c:pt>
                <c:pt idx="214">
                  <c:v>12948</c:v>
                </c:pt>
                <c:pt idx="215">
                  <c:v>14668</c:v>
                </c:pt>
                <c:pt idx="216">
                  <c:v>13378</c:v>
                </c:pt>
                <c:pt idx="217">
                  <c:v>13764</c:v>
                </c:pt>
                <c:pt idx="218">
                  <c:v>14414</c:v>
                </c:pt>
                <c:pt idx="219">
                  <c:v>13426</c:v>
                </c:pt>
                <c:pt idx="220">
                  <c:v>13302</c:v>
                </c:pt>
                <c:pt idx="221">
                  <c:v>15307</c:v>
                </c:pt>
                <c:pt idx="222">
                  <c:v>13860</c:v>
                </c:pt>
                <c:pt idx="223">
                  <c:v>11972</c:v>
                </c:pt>
                <c:pt idx="224">
                  <c:v>13823</c:v>
                </c:pt>
                <c:pt idx="225">
                  <c:v>11547</c:v>
                </c:pt>
                <c:pt idx="226">
                  <c:v>12841</c:v>
                </c:pt>
                <c:pt idx="227">
                  <c:v>12241</c:v>
                </c:pt>
                <c:pt idx="228">
                  <c:v>13544</c:v>
                </c:pt>
                <c:pt idx="229">
                  <c:v>13690</c:v>
                </c:pt>
                <c:pt idx="230">
                  <c:v>13513</c:v>
                </c:pt>
                <c:pt idx="231">
                  <c:v>12628</c:v>
                </c:pt>
                <c:pt idx="232">
                  <c:v>11976</c:v>
                </c:pt>
                <c:pt idx="233">
                  <c:v>12960</c:v>
                </c:pt>
                <c:pt idx="234">
                  <c:v>14083</c:v>
                </c:pt>
                <c:pt idx="235">
                  <c:v>14675</c:v>
                </c:pt>
                <c:pt idx="236">
                  <c:v>13720</c:v>
                </c:pt>
                <c:pt idx="237">
                  <c:v>13281</c:v>
                </c:pt>
                <c:pt idx="238">
                  <c:v>12574</c:v>
                </c:pt>
                <c:pt idx="239">
                  <c:v>13458</c:v>
                </c:pt>
                <c:pt idx="240">
                  <c:v>11964</c:v>
                </c:pt>
                <c:pt idx="241">
                  <c:v>14613</c:v>
                </c:pt>
                <c:pt idx="242">
                  <c:v>14336</c:v>
                </c:pt>
                <c:pt idx="243">
                  <c:v>12940</c:v>
                </c:pt>
                <c:pt idx="244">
                  <c:v>13617</c:v>
                </c:pt>
                <c:pt idx="245">
                  <c:v>14158</c:v>
                </c:pt>
                <c:pt idx="246">
                  <c:v>13621</c:v>
                </c:pt>
                <c:pt idx="247">
                  <c:v>13323</c:v>
                </c:pt>
                <c:pt idx="248">
                  <c:v>11495</c:v>
                </c:pt>
                <c:pt idx="249">
                  <c:v>13310</c:v>
                </c:pt>
                <c:pt idx="250">
                  <c:v>11793</c:v>
                </c:pt>
                <c:pt idx="251">
                  <c:v>13106</c:v>
                </c:pt>
                <c:pt idx="252">
                  <c:v>12222</c:v>
                </c:pt>
                <c:pt idx="253">
                  <c:v>13059</c:v>
                </c:pt>
                <c:pt idx="254">
                  <c:v>14157</c:v>
                </c:pt>
                <c:pt idx="255">
                  <c:v>13021</c:v>
                </c:pt>
                <c:pt idx="256">
                  <c:v>13241</c:v>
                </c:pt>
                <c:pt idx="257">
                  <c:v>12629</c:v>
                </c:pt>
                <c:pt idx="258">
                  <c:v>14021</c:v>
                </c:pt>
                <c:pt idx="259">
                  <c:v>13622</c:v>
                </c:pt>
                <c:pt idx="260">
                  <c:v>14142</c:v>
                </c:pt>
                <c:pt idx="261">
                  <c:v>13177</c:v>
                </c:pt>
                <c:pt idx="262">
                  <c:v>11177</c:v>
                </c:pt>
                <c:pt idx="263">
                  <c:v>13426</c:v>
                </c:pt>
                <c:pt idx="264">
                  <c:v>11290</c:v>
                </c:pt>
                <c:pt idx="265">
                  <c:v>12888</c:v>
                </c:pt>
                <c:pt idx="266">
                  <c:v>13878</c:v>
                </c:pt>
                <c:pt idx="267">
                  <c:v>14323</c:v>
                </c:pt>
                <c:pt idx="268">
                  <c:v>14009</c:v>
                </c:pt>
                <c:pt idx="269">
                  <c:v>14020</c:v>
                </c:pt>
                <c:pt idx="270">
                  <c:v>13866</c:v>
                </c:pt>
                <c:pt idx="271">
                  <c:v>12491</c:v>
                </c:pt>
                <c:pt idx="272">
                  <c:v>14125</c:v>
                </c:pt>
                <c:pt idx="273">
                  <c:v>13340</c:v>
                </c:pt>
                <c:pt idx="274">
                  <c:v>12161</c:v>
                </c:pt>
                <c:pt idx="275">
                  <c:v>13558</c:v>
                </c:pt>
                <c:pt idx="276">
                  <c:v>14705</c:v>
                </c:pt>
                <c:pt idx="277">
                  <c:v>13861</c:v>
                </c:pt>
                <c:pt idx="278">
                  <c:v>12231</c:v>
                </c:pt>
                <c:pt idx="279">
                  <c:v>13653</c:v>
                </c:pt>
                <c:pt idx="280">
                  <c:v>13601</c:v>
                </c:pt>
                <c:pt idx="281">
                  <c:v>14148</c:v>
                </c:pt>
                <c:pt idx="282">
                  <c:v>14124</c:v>
                </c:pt>
                <c:pt idx="283">
                  <c:v>13362</c:v>
                </c:pt>
                <c:pt idx="284">
                  <c:v>13306</c:v>
                </c:pt>
                <c:pt idx="285">
                  <c:v>13491</c:v>
                </c:pt>
                <c:pt idx="286">
                  <c:v>13167</c:v>
                </c:pt>
                <c:pt idx="287">
                  <c:v>11962</c:v>
                </c:pt>
                <c:pt idx="288">
                  <c:v>12594</c:v>
                </c:pt>
                <c:pt idx="289">
                  <c:v>14173</c:v>
                </c:pt>
                <c:pt idx="290">
                  <c:v>14805</c:v>
                </c:pt>
                <c:pt idx="291">
                  <c:v>14501</c:v>
                </c:pt>
                <c:pt idx="292">
                  <c:v>14543</c:v>
                </c:pt>
                <c:pt idx="293">
                  <c:v>14554</c:v>
                </c:pt>
                <c:pt idx="294">
                  <c:v>12277</c:v>
                </c:pt>
                <c:pt idx="295">
                  <c:v>12903</c:v>
                </c:pt>
                <c:pt idx="296">
                  <c:v>13222</c:v>
                </c:pt>
                <c:pt idx="297">
                  <c:v>14203</c:v>
                </c:pt>
                <c:pt idx="298">
                  <c:v>14606</c:v>
                </c:pt>
                <c:pt idx="299">
                  <c:v>13909</c:v>
                </c:pt>
                <c:pt idx="300">
                  <c:v>14199</c:v>
                </c:pt>
                <c:pt idx="301">
                  <c:v>13214</c:v>
                </c:pt>
                <c:pt idx="302">
                  <c:v>14938</c:v>
                </c:pt>
                <c:pt idx="303">
                  <c:v>14596</c:v>
                </c:pt>
                <c:pt idx="304">
                  <c:v>14300</c:v>
                </c:pt>
                <c:pt idx="305">
                  <c:v>14714</c:v>
                </c:pt>
                <c:pt idx="306">
                  <c:v>12064</c:v>
                </c:pt>
                <c:pt idx="307">
                  <c:v>14781</c:v>
                </c:pt>
                <c:pt idx="308">
                  <c:v>14337</c:v>
                </c:pt>
                <c:pt idx="309">
                  <c:v>13341</c:v>
                </c:pt>
                <c:pt idx="310">
                  <c:v>12314</c:v>
                </c:pt>
                <c:pt idx="311">
                  <c:v>13468</c:v>
                </c:pt>
                <c:pt idx="312">
                  <c:v>14492</c:v>
                </c:pt>
              </c:numCache>
            </c:numRef>
          </c:yVal>
          <c:smooth val="1"/>
          <c:extLst>
            <c:ext xmlns:c16="http://schemas.microsoft.com/office/drawing/2014/chart" uri="{C3380CC4-5D6E-409C-BE32-E72D297353CC}">
              <c16:uniqueId val="{00000001-900A-4AEF-8767-21996B855B04}"/>
            </c:ext>
          </c:extLst>
        </c:ser>
        <c:dLbls>
          <c:showLegendKey val="0"/>
          <c:showVal val="0"/>
          <c:showCatName val="0"/>
          <c:showSerName val="0"/>
          <c:showPercent val="0"/>
          <c:showBubbleSize val="0"/>
        </c:dLbls>
        <c:axId val="22975346"/>
        <c:axId val="33623501"/>
      </c:scatterChart>
      <c:valAx>
        <c:axId val="22975346"/>
        <c:scaling>
          <c:orientation val="minMax"/>
          <c:max val="40"/>
          <c:min val="15"/>
        </c:scaling>
        <c:delete val="0"/>
        <c:axPos val="b"/>
        <c:title>
          <c:tx>
            <c:rich>
              <a:bodyPr rot="0"/>
              <a:lstStyle/>
              <a:p>
                <a:pPr>
                  <a:defRPr sz="900" b="0" strike="noStrike" spc="-1">
                    <a:solidFill>
                      <a:srgbClr val="6B7C85"/>
                    </a:solidFill>
                    <a:latin typeface="Arial"/>
                  </a:defRPr>
                </a:pPr>
                <a:r>
                  <a:rPr lang="en-IN" sz="900" b="0" strike="noStrike" spc="-1">
                    <a:solidFill>
                      <a:srgbClr val="6B7C85"/>
                    </a:solidFill>
                    <a:latin typeface="Arial"/>
                  </a:rPr>
                  <a:t>Average temperature (°C)</a:t>
                </a:r>
              </a:p>
            </c:rich>
          </c:tx>
          <c:overlay val="0"/>
          <c:spPr>
            <a:noFill/>
            <a:ln w="0">
              <a:noFill/>
            </a:ln>
          </c:spPr>
        </c:title>
        <c:numFmt formatCode="0" sourceLinked="0"/>
        <c:majorTickMark val="none"/>
        <c:minorTickMark val="none"/>
        <c:tickLblPos val="nextTo"/>
        <c:spPr>
          <a:ln w="9360">
            <a:solidFill>
              <a:srgbClr val="B8C4C9"/>
            </a:solidFill>
            <a:round/>
          </a:ln>
        </c:spPr>
        <c:txPr>
          <a:bodyPr/>
          <a:lstStyle/>
          <a:p>
            <a:pPr>
              <a:defRPr sz="900" b="0" strike="noStrike" spc="-1">
                <a:solidFill>
                  <a:srgbClr val="1E2B30"/>
                </a:solidFill>
                <a:latin typeface="Arial"/>
              </a:defRPr>
            </a:pPr>
            <a:endParaRPr lang="en-US"/>
          </a:p>
        </c:txPr>
        <c:crossAx val="33623501"/>
        <c:crosses val="autoZero"/>
        <c:crossBetween val="midCat"/>
        <c:majorUnit val="5"/>
      </c:valAx>
      <c:valAx>
        <c:axId val="33623501"/>
        <c:scaling>
          <c:orientation val="minMax"/>
          <c:max val="17000"/>
          <c:min val="10000"/>
        </c:scaling>
        <c:delete val="0"/>
        <c:axPos val="l"/>
        <c:majorGridlines>
          <c:spPr>
            <a:ln w="9360">
              <a:solidFill>
                <a:srgbClr val="E3E8EA"/>
              </a:solidFill>
              <a:round/>
            </a:ln>
          </c:spPr>
        </c:majorGridlines>
        <c:title>
          <c:tx>
            <c:rich>
              <a:bodyPr rot="-5400000"/>
              <a:lstStyle/>
              <a:p>
                <a:pPr>
                  <a:defRPr sz="900" b="0" strike="noStrike" spc="-1">
                    <a:solidFill>
                      <a:srgbClr val="6B7C85"/>
                    </a:solidFill>
                    <a:latin typeface="Arial"/>
                  </a:defRPr>
                </a:pPr>
                <a:r>
                  <a:rPr lang="en-IN" sz="900" b="0" strike="noStrike" spc="-1">
                    <a:solidFill>
                      <a:srgbClr val="6B7C85"/>
                    </a:solidFill>
                    <a:latin typeface="Arial"/>
                  </a:rPr>
                  <a:t>Daily total energy (kWh)</a:t>
                </a:r>
              </a:p>
            </c:rich>
          </c:tx>
          <c:overlay val="0"/>
          <c:spPr>
            <a:noFill/>
            <a:ln w="0">
              <a:noFill/>
            </a:ln>
          </c:spPr>
        </c:title>
        <c:numFmt formatCode="#,##0" sourceLinked="0"/>
        <c:majorTickMark val="none"/>
        <c:minorTickMark val="none"/>
        <c:tickLblPos val="nextTo"/>
        <c:spPr>
          <a:ln w="9360">
            <a:noFill/>
          </a:ln>
        </c:spPr>
        <c:txPr>
          <a:bodyPr/>
          <a:lstStyle/>
          <a:p>
            <a:pPr>
              <a:defRPr sz="900" b="0" strike="noStrike" spc="-1">
                <a:solidFill>
                  <a:srgbClr val="1E2B30"/>
                </a:solidFill>
                <a:latin typeface="Arial"/>
              </a:defRPr>
            </a:pPr>
            <a:endParaRPr lang="en-US"/>
          </a:p>
        </c:txPr>
        <c:crossAx val="22975346"/>
        <c:crosses val="autoZero"/>
        <c:crossBetween val="midCat"/>
        <c:majorUnit val="1000"/>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6</xdr:col>
      <xdr:colOff>712440</xdr:colOff>
      <xdr:row>24</xdr:row>
      <xdr:rowOff>93960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9</xdr:row>
      <xdr:rowOff>0</xdr:rowOff>
    </xdr:from>
    <xdr:to>
      <xdr:col>12</xdr:col>
      <xdr:colOff>712440</xdr:colOff>
      <xdr:row>24</xdr:row>
      <xdr:rowOff>93960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27</xdr:row>
      <xdr:rowOff>0</xdr:rowOff>
    </xdr:from>
    <xdr:to>
      <xdr:col>6</xdr:col>
      <xdr:colOff>712440</xdr:colOff>
      <xdr:row>42</xdr:row>
      <xdr:rowOff>94320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27</xdr:row>
      <xdr:rowOff>0</xdr:rowOff>
    </xdr:from>
    <xdr:to>
      <xdr:col>12</xdr:col>
      <xdr:colOff>712440</xdr:colOff>
      <xdr:row>42</xdr:row>
      <xdr:rowOff>94320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hyperlink" Target="https://chatgpt.com/share/6ac00fb8-2968-83ee-954d-8cf27f47da01" TargetMode="External"/><Relationship Id="rId1" Type="http://schemas.openxmlformats.org/officeDocument/2006/relationships/hyperlink" Target="https://chatgpt.com/share/6ac00fb8-2968-83ee-954d-8cf27f47da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5A"/>
    <pageSetUpPr fitToPage="1"/>
  </sheetPr>
  <dimension ref="A1:N70"/>
  <sheetViews>
    <sheetView showGridLines="0" zoomScale="85" zoomScaleNormal="85" workbookViewId="0">
      <selection activeCell="O13" sqref="O13"/>
    </sheetView>
  </sheetViews>
  <sheetFormatPr defaultColWidth="8.6640625" defaultRowHeight="13.2" x14ac:dyDescent="0.25"/>
  <cols>
    <col min="1" max="1" width="2" customWidth="1"/>
    <col min="2" max="13" width="13.44140625" customWidth="1"/>
    <col min="14" max="14" width="2" customWidth="1"/>
  </cols>
  <sheetData>
    <row r="1" spans="1:14" ht="36" customHeight="1" x14ac:dyDescent="0.5">
      <c r="A1" s="1"/>
      <c r="B1" s="2" t="s">
        <v>0</v>
      </c>
      <c r="C1" s="1"/>
      <c r="D1" s="1"/>
      <c r="E1" s="1"/>
      <c r="F1" s="1"/>
      <c r="G1" s="1"/>
      <c r="H1" s="1"/>
      <c r="I1" s="1"/>
      <c r="J1" s="1"/>
      <c r="K1" s="1"/>
      <c r="L1" s="1"/>
      <c r="M1" s="1"/>
      <c r="N1" s="1"/>
    </row>
    <row r="2" spans="1:14" ht="13.8" x14ac:dyDescent="0.25">
      <c r="A2" s="1"/>
      <c r="B2" s="3" t="s">
        <v>1</v>
      </c>
      <c r="C2" s="1"/>
      <c r="D2" s="1"/>
      <c r="E2" s="1"/>
      <c r="F2" s="1"/>
      <c r="G2" s="1"/>
      <c r="H2" s="1"/>
      <c r="I2" s="1"/>
      <c r="J2" s="1"/>
      <c r="K2" s="1"/>
      <c r="L2" s="1"/>
      <c r="M2" s="1"/>
      <c r="N2" s="1"/>
    </row>
    <row r="3" spans="1:14" ht="19.5" customHeight="1" x14ac:dyDescent="0.25">
      <c r="A3" s="1"/>
      <c r="B3" s="4" t="s">
        <v>2</v>
      </c>
      <c r="C3" s="1"/>
      <c r="D3" s="1"/>
      <c r="E3" s="1"/>
      <c r="F3" s="1"/>
      <c r="G3" s="1"/>
      <c r="H3" s="1"/>
      <c r="I3" s="1"/>
      <c r="J3" s="1"/>
      <c r="K3" s="1"/>
      <c r="L3" s="1"/>
      <c r="M3" s="1"/>
      <c r="N3" s="1"/>
    </row>
    <row r="4" spans="1:14" ht="7.5" customHeight="1" x14ac:dyDescent="0.25"/>
    <row r="5" spans="1:14" ht="19.5" customHeight="1" x14ac:dyDescent="0.25">
      <c r="B5" s="106" t="s">
        <v>3</v>
      </c>
      <c r="C5" s="106"/>
      <c r="D5" s="106" t="s">
        <v>4</v>
      </c>
      <c r="E5" s="106"/>
      <c r="F5" s="106" t="s">
        <v>5</v>
      </c>
      <c r="G5" s="106"/>
      <c r="H5" s="106" t="s">
        <v>6</v>
      </c>
      <c r="I5" s="106"/>
      <c r="J5" s="106" t="s">
        <v>7</v>
      </c>
      <c r="K5" s="106"/>
      <c r="L5" s="106" t="s">
        <v>8</v>
      </c>
      <c r="M5" s="106"/>
    </row>
    <row r="6" spans="1:14" ht="33.75" customHeight="1" x14ac:dyDescent="0.25">
      <c r="B6" s="107">
        <f>'KPI Summary'!B4</f>
        <v>4489639</v>
      </c>
      <c r="C6" s="107"/>
      <c r="D6" s="108">
        <f>'KPI Summary'!B12</f>
        <v>7.5467028016380873</v>
      </c>
      <c r="E6" s="108"/>
      <c r="F6" s="109">
        <f>'KPI Summary'!B7</f>
        <v>0.10574747769252717</v>
      </c>
      <c r="G6" s="109"/>
      <c r="H6" s="110">
        <f>'KPI Summary'!B9</f>
        <v>313</v>
      </c>
      <c r="I6" s="110"/>
      <c r="J6" s="107">
        <f>'KPI Summary'!B13</f>
        <v>218009</v>
      </c>
      <c r="K6" s="107"/>
      <c r="L6" s="111">
        <f>'KPI Summary'!B15</f>
        <v>520</v>
      </c>
      <c r="M6" s="111"/>
    </row>
    <row r="7" spans="1:14" ht="19.5" customHeight="1" x14ac:dyDescent="0.25">
      <c r="B7" s="112" t="str">
        <f>"Grid "&amp;TEXT('KPI Summary'!B5,"#,##0")&amp;" + Solar "&amp;TEXT('KPI Summary'!B6,"#,##0")</f>
        <v>Grid 40,14,871 + Solar 4,74,768</v>
      </c>
      <c r="C7" s="112"/>
      <c r="D7" s="112" t="s">
        <v>9</v>
      </c>
      <c r="E7" s="112"/>
      <c r="F7" s="112" t="s">
        <v>10</v>
      </c>
      <c r="G7" s="112"/>
      <c r="H7" s="112" t="str">
        <f>"of "&amp;'KPI Summary'!B17&amp;" days · "&amp;'KPI Summary'!B10&amp;" non-production"</f>
        <v>of 365 days · 52 non-production</v>
      </c>
      <c r="I7" s="112"/>
      <c r="J7" s="112" t="str">
        <f>TEXT('KPI Summary'!B14,"0.0%")&amp;" of total energy"</f>
        <v>4.9% of total energy</v>
      </c>
      <c r="K7" s="112"/>
      <c r="L7" s="112" t="s">
        <v>11</v>
      </c>
      <c r="M7" s="112"/>
    </row>
    <row r="8" spans="1:14" ht="9.75" customHeight="1" x14ac:dyDescent="0.25"/>
    <row r="9" spans="1:14" ht="19.5" customHeight="1" x14ac:dyDescent="0.25">
      <c r="B9" s="113" t="s">
        <v>12</v>
      </c>
      <c r="C9" s="113"/>
      <c r="D9" s="113"/>
      <c r="E9" s="113"/>
      <c r="F9" s="113"/>
      <c r="G9" s="113"/>
      <c r="H9" s="113" t="s">
        <v>13</v>
      </c>
      <c r="I9" s="113"/>
      <c r="J9" s="113"/>
      <c r="K9" s="113"/>
      <c r="L9" s="113"/>
      <c r="M9" s="113"/>
    </row>
    <row r="27" spans="2:13" ht="19.5" customHeight="1" x14ac:dyDescent="0.25">
      <c r="B27" s="113" t="s">
        <v>14</v>
      </c>
      <c r="C27" s="113"/>
      <c r="D27" s="113"/>
      <c r="E27" s="113"/>
      <c r="F27" s="113"/>
      <c r="G27" s="113"/>
      <c r="H27" s="113" t="s">
        <v>15</v>
      </c>
      <c r="I27" s="113"/>
      <c r="J27" s="113"/>
      <c r="K27" s="113"/>
      <c r="L27" s="113"/>
      <c r="M27" s="113"/>
    </row>
    <row r="45" spans="2:13" ht="15" customHeight="1" x14ac:dyDescent="0.25">
      <c r="B45" s="114" t="s">
        <v>16</v>
      </c>
      <c r="C45" s="114"/>
      <c r="D45" s="114"/>
      <c r="E45" s="114"/>
      <c r="F45" s="114"/>
      <c r="G45" s="114"/>
      <c r="H45" s="115" t="str">
        <f>"Multiple regression temperature coefficient: ~"&amp;TEXT('Analysis Summary'!B15,"0.0")&amp;" kWh/°C, controlling for units produced (95% CI "&amp;TEXT('Analysis Summary'!B21,"0.0")&amp;"–"&amp;TEXT('Analysis Summary'!B22,"0.0")&amp;"; R² "&amp;TEXT('Analysis Summary'!B23,"0.000")&amp;"). Association ≠ causation. Dashed line = simple temperature-only fit (R² "&amp;TEXT('Analysis Summary'!B24,"0.00")&amp;")."</f>
        <v>Multiple regression temperature coefficient: ~39.8 kWh/°C, controlling for units produced (95% CI 28.6–50.9; R² 0.765). Association ≠ causation. Dashed line = simple temperature-only fit (R² 0.07).</v>
      </c>
      <c r="I45" s="115"/>
      <c r="J45" s="115"/>
      <c r="K45" s="115"/>
      <c r="L45" s="115"/>
      <c r="M45" s="115"/>
    </row>
    <row r="46" spans="2:13" x14ac:dyDescent="0.25">
      <c r="B46" s="114"/>
      <c r="C46" s="114"/>
      <c r="D46" s="114"/>
      <c r="E46" s="114"/>
      <c r="F46" s="114"/>
      <c r="G46" s="114"/>
      <c r="H46" s="115"/>
      <c r="I46" s="115"/>
      <c r="J46" s="115"/>
      <c r="K46" s="115"/>
      <c r="L46" s="115"/>
      <c r="M46" s="115"/>
    </row>
    <row r="47" spans="2:13" ht="7.5" customHeight="1" x14ac:dyDescent="0.25"/>
    <row r="48" spans="2:13" ht="19.5" customHeight="1" x14ac:dyDescent="0.25">
      <c r="B48" s="116" t="s">
        <v>17</v>
      </c>
      <c r="C48" s="116"/>
      <c r="D48" s="116"/>
      <c r="E48" s="116"/>
      <c r="F48" s="116"/>
      <c r="G48" s="116"/>
      <c r="H48" s="113" t="s">
        <v>18</v>
      </c>
      <c r="I48" s="113"/>
      <c r="J48" s="113"/>
      <c r="K48" s="113"/>
      <c r="L48" s="113"/>
      <c r="M48" s="113"/>
    </row>
    <row r="49" spans="2:13" x14ac:dyDescent="0.25">
      <c r="B49" s="117" t="s">
        <v>19</v>
      </c>
      <c r="C49" s="117"/>
      <c r="D49" s="117" t="s">
        <v>20</v>
      </c>
      <c r="E49" s="117"/>
      <c r="F49" s="117"/>
      <c r="G49" s="117"/>
      <c r="H49" s="118" t="str">
        <f>"• Production-day energy intensity is "&amp;TEXT('KPI Summary'!B12,"0.00")&amp;" kWh/unit ("&amp;TEXT('KPI Summary'!B11,"#,##0")&amp;" kWh across "&amp;TEXT('KPI Summary'!B8,"#,##0")&amp;" units)."</f>
        <v>• Production-day energy intensity is 7.55 kWh/unit (42,71,630 kWh across 5,66,026 units).</v>
      </c>
      <c r="I49" s="118"/>
      <c r="J49" s="118"/>
      <c r="K49" s="118"/>
      <c r="L49" s="118"/>
      <c r="M49" s="118"/>
    </row>
    <row r="50" spans="2:13" ht="30" customHeight="1" x14ac:dyDescent="0.25">
      <c r="B50" s="119">
        <f>'Analysis Summary'!B7</f>
        <v>3</v>
      </c>
      <c r="C50" s="119"/>
      <c r="D50" s="120">
        <f>'Analysis Summary'!B5</f>
        <v>4687.6999999999989</v>
      </c>
      <c r="E50" s="120"/>
      <c r="F50" s="120"/>
      <c r="G50" s="120"/>
      <c r="H50" s="118"/>
      <c r="I50" s="118"/>
      <c r="J50" s="118"/>
      <c r="K50" s="118"/>
      <c r="L50" s="118"/>
      <c r="M50" s="118"/>
    </row>
    <row r="51" spans="2:13" x14ac:dyDescent="0.25">
      <c r="B51" s="121" t="s">
        <v>21</v>
      </c>
      <c r="C51" s="121"/>
      <c r="D51" s="5" t="s">
        <v>22</v>
      </c>
      <c r="E51" s="121" t="s">
        <v>23</v>
      </c>
      <c r="F51" s="121"/>
      <c r="G51" s="5" t="s">
        <v>24</v>
      </c>
      <c r="H51" s="118" t="str">
        <f>"• Solar supplied "&amp;TEXT('KPI Summary'!B7,"0.00%")&amp;" of annual energy; monthly share ranged from "&amp;TEXT('KPI Summary'!B20,"0.0%")&amp;" to "&amp;TEXT('KPI Summary'!B21,"0.0%")&amp;"."</f>
        <v>• Solar supplied 10.57% of annual energy; monthly share ranged from 5.2% to 13.8%.</v>
      </c>
      <c r="I51" s="118"/>
      <c r="J51" s="118"/>
      <c r="K51" s="118"/>
      <c r="L51" s="118"/>
      <c r="M51" s="118"/>
    </row>
    <row r="52" spans="2:13" ht="21.75" customHeight="1" x14ac:dyDescent="0.25">
      <c r="B52" s="122">
        <f>'Wasteful Days'!B9</f>
        <v>45788</v>
      </c>
      <c r="C52" s="122"/>
      <c r="D52" s="6" t="str">
        <f>'Wasteful Days'!C9</f>
        <v>Sunday</v>
      </c>
      <c r="E52" s="123">
        <f>'Wasteful Days'!D9</f>
        <v>4917</v>
      </c>
      <c r="F52" s="123"/>
      <c r="G52" s="7">
        <f>'Wasteful Days'!J9</f>
        <v>229.30000000000109</v>
      </c>
      <c r="H52" s="118"/>
      <c r="I52" s="118"/>
      <c r="J52" s="118"/>
      <c r="K52" s="118"/>
      <c r="L52" s="118"/>
      <c r="M52" s="118"/>
    </row>
    <row r="53" spans="2:13" ht="21.75" customHeight="1" x14ac:dyDescent="0.25">
      <c r="B53" s="122">
        <f>'Wasteful Days'!B10</f>
        <v>45795</v>
      </c>
      <c r="C53" s="122"/>
      <c r="D53" s="6" t="str">
        <f>'Wasteful Days'!C10</f>
        <v>Sunday</v>
      </c>
      <c r="E53" s="123">
        <f>'Wasteful Days'!D10</f>
        <v>4790</v>
      </c>
      <c r="F53" s="123"/>
      <c r="G53" s="7">
        <f>'Wasteful Days'!J10</f>
        <v>102.30000000000109</v>
      </c>
      <c r="H53" s="118" t="str">
        <f>"• "&amp;TEXT('KPI Summary'!B13,"#,##0")&amp;" kWh ("&amp;TEXT('KPI Summary'!B14,"0.0%")&amp;" of total) was consumed across "&amp;'KPI Summary'!B10&amp;" non-production days."</f>
        <v>• 2,18,009 kWh (4.9% of total) was consumed across 52 non-production days.</v>
      </c>
      <c r="I53" s="118"/>
      <c r="J53" s="118"/>
      <c r="K53" s="118"/>
      <c r="L53" s="118"/>
      <c r="M53" s="118"/>
    </row>
    <row r="54" spans="2:13" ht="21.75" customHeight="1" x14ac:dyDescent="0.25">
      <c r="B54" s="122">
        <f>'Wasteful Days'!B11</f>
        <v>45830</v>
      </c>
      <c r="C54" s="122"/>
      <c r="D54" s="6" t="str">
        <f>'Wasteful Days'!C11</f>
        <v>Sunday</v>
      </c>
      <c r="E54" s="123">
        <f>'Wasteful Days'!D11</f>
        <v>5179</v>
      </c>
      <c r="F54" s="123"/>
      <c r="G54" s="7">
        <f>'Wasteful Days'!J11</f>
        <v>491.30000000000109</v>
      </c>
      <c r="H54" s="118"/>
      <c r="I54" s="118"/>
      <c r="J54" s="118"/>
      <c r="K54" s="118"/>
      <c r="L54" s="118"/>
      <c r="M54" s="118"/>
    </row>
    <row r="55" spans="2:13" x14ac:dyDescent="0.25">
      <c r="H55" s="118" t="str">
        <f>"• "&amp;'Analysis Summary'!B7&amp;" non-production days exceeded the 95th-percentile screening threshold of "&amp;TEXT('Analysis Summary'!B5,"#,##0.0")&amp;" kWh — flagged for review, not confirmed waste."</f>
        <v>• 3 non-production days exceeded the 95th-percentile screening threshold of 4,687.7 kWh — flagged for review, not confirmed waste.</v>
      </c>
      <c r="I55" s="118"/>
      <c r="J55" s="118"/>
      <c r="K55" s="118"/>
      <c r="L55" s="118"/>
      <c r="M55" s="118"/>
    </row>
    <row r="56" spans="2:13" ht="15" customHeight="1" x14ac:dyDescent="0.25">
      <c r="B56" s="124" t="s">
        <v>25</v>
      </c>
      <c r="C56" s="124"/>
      <c r="D56" s="124"/>
      <c r="E56" s="124"/>
      <c r="F56" s="124"/>
      <c r="G56" s="124"/>
      <c r="H56" s="118"/>
      <c r="I56" s="118"/>
      <c r="J56" s="118"/>
      <c r="K56" s="118"/>
      <c r="L56" s="118"/>
      <c r="M56" s="118"/>
    </row>
    <row r="57" spans="2:13" x14ac:dyDescent="0.25">
      <c r="B57" s="124"/>
      <c r="C57" s="124"/>
      <c r="D57" s="124"/>
      <c r="E57" s="124"/>
      <c r="F57" s="124"/>
      <c r="G57" s="124"/>
      <c r="H57" s="118" t="str">
        <f>"• Temperature has a positive association with energy use after controlling for production volume (~"&amp;TEXT('Analysis Summary'!B15,"0.0")&amp;" kWh/°C)."</f>
        <v>• Temperature has a positive association with energy use after controlling for production volume (~39.8 kWh/°C).</v>
      </c>
      <c r="I57" s="118"/>
      <c r="J57" s="118"/>
      <c r="K57" s="118"/>
      <c r="L57" s="118"/>
      <c r="M57" s="118"/>
    </row>
    <row r="58" spans="2:13" x14ac:dyDescent="0.25">
      <c r="B58" s="124"/>
      <c r="C58" s="124"/>
      <c r="D58" s="124"/>
      <c r="E58" s="124"/>
      <c r="F58" s="124"/>
      <c r="G58" s="124"/>
      <c r="H58" s="118"/>
      <c r="I58" s="118"/>
      <c r="J58" s="118"/>
      <c r="K58" s="118"/>
      <c r="L58" s="118"/>
      <c r="M58" s="118"/>
    </row>
    <row r="59" spans="2:13" ht="7.5" customHeight="1" x14ac:dyDescent="0.25"/>
    <row r="60" spans="2:13" ht="19.5" customHeight="1" x14ac:dyDescent="0.25">
      <c r="B60" s="113" t="s">
        <v>26</v>
      </c>
      <c r="C60" s="113"/>
      <c r="D60" s="113"/>
      <c r="E60" s="113"/>
      <c r="F60" s="113"/>
      <c r="G60" s="113"/>
      <c r="H60" s="113" t="s">
        <v>27</v>
      </c>
      <c r="I60" s="113"/>
      <c r="J60" s="113"/>
      <c r="K60" s="113"/>
      <c r="L60" s="113"/>
      <c r="M60" s="113"/>
    </row>
    <row r="61" spans="2:13" ht="25.5" customHeight="1" x14ac:dyDescent="0.25">
      <c r="B61" s="125" t="s">
        <v>28</v>
      </c>
      <c r="C61" s="125"/>
      <c r="D61" s="125"/>
      <c r="E61" s="126" t="s">
        <v>29</v>
      </c>
      <c r="F61" s="126"/>
      <c r="G61" s="8" t="s">
        <v>30</v>
      </c>
      <c r="H61" s="127" t="s">
        <v>31</v>
      </c>
      <c r="I61" s="128" t="s">
        <v>32</v>
      </c>
      <c r="J61" s="128"/>
      <c r="K61" s="128"/>
      <c r="L61" s="128"/>
      <c r="M61" s="128"/>
    </row>
    <row r="62" spans="2:13" ht="21" customHeight="1" x14ac:dyDescent="0.25">
      <c r="B62" s="129" t="str">
        <f>'Savings Table'!B7</f>
        <v>Non-production shutdown / standby reduction</v>
      </c>
      <c r="C62" s="129"/>
      <c r="D62" s="129"/>
      <c r="E62" s="130">
        <f>'Savings Table'!C7</f>
        <v>130805.4</v>
      </c>
      <c r="F62" s="130"/>
      <c r="G62" s="9">
        <f>'Savings Table'!D7</f>
        <v>1046443.2</v>
      </c>
      <c r="H62" s="127"/>
      <c r="I62" s="128"/>
      <c r="J62" s="128"/>
      <c r="K62" s="128"/>
      <c r="L62" s="128"/>
      <c r="M62" s="128"/>
    </row>
    <row r="63" spans="2:13" ht="21" customHeight="1" x14ac:dyDescent="0.25">
      <c r="B63" s="129" t="str">
        <f>'Savings Table'!B8</f>
        <v>Production efficiency improvement</v>
      </c>
      <c r="C63" s="129"/>
      <c r="D63" s="129"/>
      <c r="E63" s="130">
        <f>'Savings Table'!C8</f>
        <v>128148.9</v>
      </c>
      <c r="F63" s="130"/>
      <c r="G63" s="9">
        <f>'Savings Table'!D8</f>
        <v>1025191.2</v>
      </c>
      <c r="H63" s="127" t="s">
        <v>33</v>
      </c>
      <c r="I63" s="128" t="s">
        <v>34</v>
      </c>
      <c r="J63" s="128"/>
      <c r="K63" s="128"/>
      <c r="L63" s="128"/>
      <c r="M63" s="128"/>
    </row>
    <row r="64" spans="2:13" ht="21" customHeight="1" x14ac:dyDescent="0.25">
      <c r="B64" s="129" t="str">
        <f>'Savings Table'!B9</f>
        <v>Solar generation expansion</v>
      </c>
      <c r="C64" s="129"/>
      <c r="D64" s="129"/>
      <c r="E64" s="130">
        <f>'Savings Table'!C9</f>
        <v>94953.600000000006</v>
      </c>
      <c r="F64" s="130"/>
      <c r="G64" s="9">
        <f>'Savings Table'!D9</f>
        <v>759628.80000000005</v>
      </c>
      <c r="H64" s="127"/>
      <c r="I64" s="128"/>
      <c r="J64" s="128"/>
      <c r="K64" s="128"/>
      <c r="L64" s="128"/>
      <c r="M64" s="128"/>
    </row>
    <row r="65" spans="2:13" ht="21" customHeight="1" x14ac:dyDescent="0.25">
      <c r="B65" s="129" t="str">
        <f>'Savings Table'!B10</f>
        <v>Breakdown-linked controls</v>
      </c>
      <c r="C65" s="129"/>
      <c r="D65" s="129"/>
      <c r="E65" s="130">
        <f>'Savings Table'!C10</f>
        <v>42716.3</v>
      </c>
      <c r="F65" s="130"/>
      <c r="G65" s="9">
        <f>'Savings Table'!D10</f>
        <v>341730.4</v>
      </c>
      <c r="H65" s="127" t="s">
        <v>35</v>
      </c>
      <c r="I65" s="128" t="s">
        <v>36</v>
      </c>
      <c r="J65" s="128"/>
      <c r="K65" s="128"/>
      <c r="L65" s="128"/>
      <c r="M65" s="128"/>
    </row>
    <row r="66" spans="2:13" ht="21" customHeight="1" x14ac:dyDescent="0.25">
      <c r="B66" s="129" t="str">
        <f>'Savings Table'!B11</f>
        <v>Cooling / HVAC optimisation</v>
      </c>
      <c r="C66" s="129"/>
      <c r="D66" s="129"/>
      <c r="E66" s="130">
        <f>'Savings Table'!C11</f>
        <v>7789</v>
      </c>
      <c r="F66" s="130"/>
      <c r="G66" s="9">
        <f>'Savings Table'!D11</f>
        <v>62312</v>
      </c>
      <c r="H66" s="127"/>
      <c r="I66" s="128"/>
      <c r="J66" s="128"/>
      <c r="K66" s="128"/>
      <c r="L66" s="128"/>
      <c r="M66" s="128"/>
    </row>
    <row r="67" spans="2:13" ht="21" customHeight="1" x14ac:dyDescent="0.25">
      <c r="B67" s="131" t="s">
        <v>37</v>
      </c>
      <c r="C67" s="131"/>
      <c r="D67" s="131"/>
      <c r="E67" s="131"/>
      <c r="F67" s="131"/>
      <c r="G67" s="131"/>
      <c r="H67" s="131" t="s">
        <v>38</v>
      </c>
      <c r="I67" s="131"/>
      <c r="J67" s="131"/>
      <c r="K67" s="131"/>
      <c r="L67" s="131"/>
      <c r="M67" s="131"/>
    </row>
    <row r="68" spans="2:13" x14ac:dyDescent="0.25">
      <c r="B68" s="131"/>
      <c r="C68" s="131"/>
      <c r="D68" s="131"/>
      <c r="E68" s="131"/>
      <c r="F68" s="131"/>
      <c r="G68" s="131"/>
      <c r="H68" s="131"/>
      <c r="I68" s="131"/>
      <c r="J68" s="131"/>
      <c r="K68" s="131"/>
      <c r="L68" s="131"/>
      <c r="M68" s="131"/>
    </row>
    <row r="69" spans="2:13" ht="7.5" customHeight="1" x14ac:dyDescent="0.25"/>
    <row r="70" spans="2:13" x14ac:dyDescent="0.25">
      <c r="B70" s="132" t="str">
        <f>"Source: Daily Energy sheet (365 days, synthetic data). Methods and checks: Analysis Summary, QA Checks — status: "&amp;'QA Checks'!D2</f>
        <v>Source: Daily Energy sheet (365 days, synthetic data). Methods and checks: Analysis Summary, QA Checks — status: ALL 50 CHECKS PASS</v>
      </c>
      <c r="C70" s="132"/>
      <c r="D70" s="132"/>
      <c r="E70" s="132"/>
      <c r="F70" s="132"/>
      <c r="G70" s="132"/>
      <c r="H70" s="132"/>
      <c r="I70" s="132"/>
      <c r="J70" s="132"/>
      <c r="K70" s="132"/>
      <c r="L70" s="132"/>
      <c r="M70" s="132"/>
    </row>
  </sheetData>
  <mergeCells count="67">
    <mergeCell ref="B67:G68"/>
    <mergeCell ref="H67:M68"/>
    <mergeCell ref="B70:M70"/>
    <mergeCell ref="B65:D65"/>
    <mergeCell ref="E65:F65"/>
    <mergeCell ref="H65:H66"/>
    <mergeCell ref="I65:M66"/>
    <mergeCell ref="B66:D66"/>
    <mergeCell ref="E66:F66"/>
    <mergeCell ref="B63:D63"/>
    <mergeCell ref="E63:F63"/>
    <mergeCell ref="H63:H64"/>
    <mergeCell ref="I63:M64"/>
    <mergeCell ref="B64:D64"/>
    <mergeCell ref="E64:F64"/>
    <mergeCell ref="B61:D61"/>
    <mergeCell ref="E61:F61"/>
    <mergeCell ref="H61:H62"/>
    <mergeCell ref="I61:M62"/>
    <mergeCell ref="B62:D62"/>
    <mergeCell ref="E62:F62"/>
    <mergeCell ref="H55:M56"/>
    <mergeCell ref="B56:G58"/>
    <mergeCell ref="H57:M58"/>
    <mergeCell ref="B60:G60"/>
    <mergeCell ref="H60:M60"/>
    <mergeCell ref="B53:C53"/>
    <mergeCell ref="E53:F53"/>
    <mergeCell ref="H53:M54"/>
    <mergeCell ref="B54:C54"/>
    <mergeCell ref="E54:F54"/>
    <mergeCell ref="B51:C51"/>
    <mergeCell ref="E51:F51"/>
    <mergeCell ref="H51:M52"/>
    <mergeCell ref="B52:C52"/>
    <mergeCell ref="E52:F52"/>
    <mergeCell ref="B45:G46"/>
    <mergeCell ref="H45:M46"/>
    <mergeCell ref="B48:G48"/>
    <mergeCell ref="H48:M48"/>
    <mergeCell ref="B49:C49"/>
    <mergeCell ref="D49:G49"/>
    <mergeCell ref="H49:M50"/>
    <mergeCell ref="B50:C50"/>
    <mergeCell ref="D50:G50"/>
    <mergeCell ref="L7:M7"/>
    <mergeCell ref="B9:G9"/>
    <mergeCell ref="H9:M9"/>
    <mergeCell ref="B27:G27"/>
    <mergeCell ref="H27:M27"/>
    <mergeCell ref="B7:C7"/>
    <mergeCell ref="D7:E7"/>
    <mergeCell ref="F7:G7"/>
    <mergeCell ref="H7:I7"/>
    <mergeCell ref="J7:K7"/>
    <mergeCell ref="L5:M5"/>
    <mergeCell ref="B6:C6"/>
    <mergeCell ref="D6:E6"/>
    <mergeCell ref="F6:G6"/>
    <mergeCell ref="H6:I6"/>
    <mergeCell ref="J6:K6"/>
    <mergeCell ref="L6:M6"/>
    <mergeCell ref="B5:C5"/>
    <mergeCell ref="D5:E5"/>
    <mergeCell ref="F5:G5"/>
    <mergeCell ref="H5:I5"/>
    <mergeCell ref="J5:K5"/>
  </mergeCells>
  <pageMargins left="0.4" right="0.4" top="0.4" bottom="0.4"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zoomScaleNormal="100" workbookViewId="0"/>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25" customHeight="1" x14ac:dyDescent="0.3">
      <c r="A1" s="10" t="s">
        <v>39</v>
      </c>
    </row>
    <row r="2" spans="1:2" ht="15" customHeight="1" x14ac:dyDescent="0.25">
      <c r="A2" s="11" t="s">
        <v>40</v>
      </c>
    </row>
    <row r="4" spans="1:2" ht="18" customHeight="1" x14ac:dyDescent="0.25">
      <c r="A4" s="12" t="s">
        <v>41</v>
      </c>
      <c r="B4" s="13" t="s">
        <v>42</v>
      </c>
    </row>
    <row r="5" spans="1:2" ht="18" customHeight="1" x14ac:dyDescent="0.25">
      <c r="A5" s="12" t="s">
        <v>43</v>
      </c>
      <c r="B5" s="13" t="s">
        <v>44</v>
      </c>
    </row>
    <row r="6" spans="1:2" ht="18" customHeight="1" x14ac:dyDescent="0.25">
      <c r="A6" s="12" t="s">
        <v>45</v>
      </c>
      <c r="B6" s="13" t="s">
        <v>46</v>
      </c>
    </row>
    <row r="7" spans="1:2" ht="27.75" customHeight="1" x14ac:dyDescent="0.25">
      <c r="A7" s="12" t="s">
        <v>47</v>
      </c>
      <c r="B7" s="13" t="s">
        <v>48</v>
      </c>
    </row>
    <row r="8" spans="1:2" ht="55.5" customHeight="1" x14ac:dyDescent="0.25">
      <c r="A8" s="12" t="s">
        <v>49</v>
      </c>
      <c r="B8" s="13" t="s">
        <v>50</v>
      </c>
    </row>
    <row r="9" spans="1:2" ht="18" customHeight="1" x14ac:dyDescent="0.25">
      <c r="A9" s="12" t="s">
        <v>51</v>
      </c>
      <c r="B9" s="13" t="s">
        <v>52</v>
      </c>
    </row>
    <row r="10" spans="1:2" ht="27.75" customHeight="1" x14ac:dyDescent="0.25">
      <c r="A10" s="12" t="s">
        <v>53</v>
      </c>
      <c r="B10" s="13" t="s">
        <v>54</v>
      </c>
    </row>
    <row r="11" spans="1:2" ht="42" customHeight="1" x14ac:dyDescent="0.25">
      <c r="A11" s="12" t="s">
        <v>55</v>
      </c>
      <c r="B11" s="13" t="s">
        <v>56</v>
      </c>
    </row>
    <row r="12" spans="1:2" ht="18" customHeight="1" x14ac:dyDescent="0.25">
      <c r="A12" s="12" t="s">
        <v>57</v>
      </c>
      <c r="B12" s="13" t="s">
        <v>58</v>
      </c>
    </row>
    <row r="13" spans="1:2" ht="27.75" customHeight="1" x14ac:dyDescent="0.25">
      <c r="A13" s="12" t="s">
        <v>59</v>
      </c>
      <c r="B13" s="13" t="s">
        <v>60</v>
      </c>
    </row>
    <row r="14" spans="1:2" ht="42" customHeight="1" x14ac:dyDescent="0.25">
      <c r="A14" s="12" t="s">
        <v>61</v>
      </c>
      <c r="B14" s="13" t="s">
        <v>62</v>
      </c>
    </row>
    <row r="16" spans="1:2" ht="15" customHeight="1" x14ac:dyDescent="0.3">
      <c r="A16" s="14" t="s">
        <v>63</v>
      </c>
    </row>
    <row r="17" spans="1:7" ht="15" customHeight="1" x14ac:dyDescent="0.25">
      <c r="A17" s="15" t="s">
        <v>64</v>
      </c>
      <c r="B17" s="15" t="s">
        <v>65</v>
      </c>
      <c r="C17" s="15" t="s">
        <v>66</v>
      </c>
      <c r="D17" s="15" t="s">
        <v>67</v>
      </c>
      <c r="E17" s="15" t="s">
        <v>68</v>
      </c>
      <c r="F17" s="15" t="s">
        <v>69</v>
      </c>
      <c r="G17" s="15" t="s">
        <v>70</v>
      </c>
    </row>
    <row r="18" spans="1:7" ht="42" customHeight="1" x14ac:dyDescent="0.25">
      <c r="A18" s="16" t="s">
        <v>71</v>
      </c>
      <c r="B18" s="16" t="s">
        <v>72</v>
      </c>
      <c r="C18" s="16">
        <v>8</v>
      </c>
      <c r="D18" s="16" t="s">
        <v>73</v>
      </c>
      <c r="E18" s="16" t="s">
        <v>74</v>
      </c>
      <c r="F18" s="16" t="s">
        <v>75</v>
      </c>
      <c r="G18" s="16" t="s">
        <v>76</v>
      </c>
    </row>
    <row r="19" spans="1:7" ht="42" customHeight="1" x14ac:dyDescent="0.25">
      <c r="A19" s="16" t="s">
        <v>77</v>
      </c>
      <c r="B19" s="16" t="s">
        <v>78</v>
      </c>
      <c r="C19" s="16">
        <v>7</v>
      </c>
      <c r="D19" s="16" t="s">
        <v>79</v>
      </c>
      <c r="E19" s="16" t="s">
        <v>80</v>
      </c>
      <c r="F19" s="16" t="s">
        <v>81</v>
      </c>
      <c r="G19" s="16" t="s">
        <v>82</v>
      </c>
    </row>
    <row r="20" spans="1:7" ht="42" customHeight="1" x14ac:dyDescent="0.25">
      <c r="A20" s="16" t="s">
        <v>83</v>
      </c>
      <c r="B20" s="16" t="s">
        <v>84</v>
      </c>
      <c r="C20" s="16">
        <v>5</v>
      </c>
      <c r="D20" s="16" t="s">
        <v>85</v>
      </c>
      <c r="E20" s="16" t="s">
        <v>86</v>
      </c>
      <c r="F20" s="16" t="s">
        <v>87</v>
      </c>
      <c r="G20" s="16" t="s">
        <v>88</v>
      </c>
    </row>
    <row r="21" spans="1:7" ht="42" customHeight="1" x14ac:dyDescent="0.25">
      <c r="A21" s="16" t="s">
        <v>89</v>
      </c>
      <c r="B21" s="16" t="s">
        <v>90</v>
      </c>
      <c r="C21" s="16">
        <v>6</v>
      </c>
      <c r="D21" s="16" t="s">
        <v>91</v>
      </c>
      <c r="E21" s="16" t="s">
        <v>92</v>
      </c>
      <c r="F21" s="16" t="s">
        <v>93</v>
      </c>
      <c r="G21" s="16" t="s">
        <v>94</v>
      </c>
    </row>
    <row r="22" spans="1:7" ht="42" customHeight="1" x14ac:dyDescent="0.25">
      <c r="A22" s="16" t="s">
        <v>95</v>
      </c>
      <c r="B22" s="16" t="s">
        <v>96</v>
      </c>
      <c r="C22" s="16">
        <v>4</v>
      </c>
      <c r="D22" s="16" t="s">
        <v>97</v>
      </c>
      <c r="E22" s="16" t="s">
        <v>98</v>
      </c>
      <c r="F22" s="16" t="s">
        <v>99</v>
      </c>
      <c r="G22" s="16" t="s">
        <v>94</v>
      </c>
    </row>
    <row r="23" spans="1:7" ht="15" customHeight="1" x14ac:dyDescent="0.25">
      <c r="A23" s="17" t="s">
        <v>100</v>
      </c>
      <c r="C23" s="17">
        <f>SUM(C18:C22)</f>
        <v>30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66"/>
  <sheetViews>
    <sheetView zoomScaleNormal="100" workbookViewId="0">
      <pane ySplit="1" topLeftCell="A2" activePane="bottomLeft" state="frozen"/>
      <selection pane="bottomLeft"/>
    </sheetView>
  </sheetViews>
  <sheetFormatPr defaultColWidth="8.6640625" defaultRowHeight="13.2" x14ac:dyDescent="0.25"/>
  <cols>
    <col min="1" max="1" width="12" customWidth="1"/>
    <col min="2" max="2" width="10" customWidth="1"/>
    <col min="3" max="4" width="16" customWidth="1"/>
    <col min="5" max="5" width="12" customWidth="1"/>
    <col min="6" max="6" width="10" customWidth="1"/>
    <col min="7" max="7" width="11" customWidth="1"/>
    <col min="8" max="9" width="16" customWidth="1"/>
    <col min="10" max="10" width="20" customWidth="1"/>
  </cols>
  <sheetData>
    <row r="1" spans="1:10" ht="23.25" customHeight="1" x14ac:dyDescent="0.25">
      <c r="A1" s="15" t="s">
        <v>101</v>
      </c>
      <c r="B1" s="15" t="s">
        <v>102</v>
      </c>
      <c r="C1" s="15" t="s">
        <v>103</v>
      </c>
      <c r="D1" s="15" t="s">
        <v>104</v>
      </c>
      <c r="E1" s="15" t="s">
        <v>105</v>
      </c>
      <c r="F1" s="15" t="s">
        <v>106</v>
      </c>
      <c r="G1" s="15" t="s">
        <v>107</v>
      </c>
      <c r="H1" s="15" t="s">
        <v>108</v>
      </c>
      <c r="I1" s="15" t="s">
        <v>109</v>
      </c>
      <c r="J1" s="15" t="s">
        <v>110</v>
      </c>
    </row>
    <row r="2" spans="1:10" ht="15" customHeight="1" x14ac:dyDescent="0.3">
      <c r="A2" s="18">
        <v>45748</v>
      </c>
      <c r="B2" t="s">
        <v>111</v>
      </c>
      <c r="C2" t="s">
        <v>112</v>
      </c>
      <c r="D2">
        <v>1672</v>
      </c>
      <c r="E2">
        <v>22.9</v>
      </c>
      <c r="F2">
        <v>11285</v>
      </c>
      <c r="G2">
        <v>1824</v>
      </c>
      <c r="H2">
        <v>8.1300000000000008</v>
      </c>
      <c r="I2">
        <v>384</v>
      </c>
      <c r="J2">
        <v>1</v>
      </c>
    </row>
    <row r="3" spans="1:10" ht="15" customHeight="1" x14ac:dyDescent="0.3">
      <c r="A3" s="18">
        <v>45749</v>
      </c>
      <c r="B3" t="s">
        <v>113</v>
      </c>
      <c r="C3" t="s">
        <v>112</v>
      </c>
      <c r="D3">
        <v>1476</v>
      </c>
      <c r="E3">
        <v>25.9</v>
      </c>
      <c r="F3">
        <v>9783</v>
      </c>
      <c r="G3">
        <v>1470</v>
      </c>
      <c r="H3">
        <v>7.04</v>
      </c>
      <c r="I3">
        <v>416</v>
      </c>
      <c r="J3">
        <v>0</v>
      </c>
    </row>
    <row r="4" spans="1:10" ht="15" customHeight="1" x14ac:dyDescent="0.3">
      <c r="A4" s="18">
        <v>45750</v>
      </c>
      <c r="B4" t="s">
        <v>114</v>
      </c>
      <c r="C4" t="s">
        <v>112</v>
      </c>
      <c r="D4">
        <v>1705</v>
      </c>
      <c r="E4">
        <v>25.2</v>
      </c>
      <c r="F4">
        <v>11177</v>
      </c>
      <c r="G4">
        <v>1940</v>
      </c>
      <c r="H4">
        <v>8.0500000000000007</v>
      </c>
      <c r="I4">
        <v>476</v>
      </c>
      <c r="J4">
        <v>0</v>
      </c>
    </row>
    <row r="5" spans="1:10" ht="15" customHeight="1" x14ac:dyDescent="0.3">
      <c r="A5" s="18">
        <v>45751</v>
      </c>
      <c r="B5" t="s">
        <v>115</v>
      </c>
      <c r="C5" t="s">
        <v>112</v>
      </c>
      <c r="D5">
        <v>1902</v>
      </c>
      <c r="E5">
        <v>25</v>
      </c>
      <c r="F5">
        <v>12217</v>
      </c>
      <c r="G5">
        <v>2026</v>
      </c>
      <c r="H5">
        <v>8.8000000000000007</v>
      </c>
      <c r="I5">
        <v>409</v>
      </c>
      <c r="J5">
        <v>1</v>
      </c>
    </row>
    <row r="6" spans="1:10" ht="15" customHeight="1" x14ac:dyDescent="0.3">
      <c r="A6" s="18">
        <v>45752</v>
      </c>
      <c r="B6" t="s">
        <v>116</v>
      </c>
      <c r="C6" t="s">
        <v>112</v>
      </c>
      <c r="D6">
        <v>1848</v>
      </c>
      <c r="E6">
        <v>25.9</v>
      </c>
      <c r="F6">
        <v>12005</v>
      </c>
      <c r="G6">
        <v>1641</v>
      </c>
      <c r="H6">
        <v>8.64</v>
      </c>
      <c r="I6">
        <v>470</v>
      </c>
      <c r="J6">
        <v>2</v>
      </c>
    </row>
    <row r="7" spans="1:10" ht="15" customHeight="1" x14ac:dyDescent="0.3">
      <c r="A7" s="18">
        <v>45753</v>
      </c>
      <c r="B7" t="s">
        <v>117</v>
      </c>
      <c r="C7" t="s">
        <v>118</v>
      </c>
      <c r="D7">
        <v>0</v>
      </c>
      <c r="E7">
        <v>24.3</v>
      </c>
      <c r="F7">
        <v>2486</v>
      </c>
      <c r="G7">
        <v>1577</v>
      </c>
      <c r="H7">
        <v>1.79</v>
      </c>
      <c r="I7">
        <v>519</v>
      </c>
      <c r="J7">
        <v>0</v>
      </c>
    </row>
    <row r="8" spans="1:10" ht="15" customHeight="1" x14ac:dyDescent="0.3">
      <c r="A8" s="18">
        <v>45754</v>
      </c>
      <c r="B8" t="s">
        <v>119</v>
      </c>
      <c r="C8" t="s">
        <v>112</v>
      </c>
      <c r="D8">
        <v>1705</v>
      </c>
      <c r="E8">
        <v>28.6</v>
      </c>
      <c r="F8">
        <v>11877</v>
      </c>
      <c r="G8">
        <v>1494</v>
      </c>
      <c r="H8">
        <v>8.5500000000000007</v>
      </c>
      <c r="I8">
        <v>493</v>
      </c>
      <c r="J8">
        <v>1</v>
      </c>
    </row>
    <row r="9" spans="1:10" ht="15" customHeight="1" x14ac:dyDescent="0.3">
      <c r="A9" s="18">
        <v>45755</v>
      </c>
      <c r="B9" t="s">
        <v>111</v>
      </c>
      <c r="C9" t="s">
        <v>112</v>
      </c>
      <c r="D9">
        <v>1846</v>
      </c>
      <c r="E9">
        <v>26.7</v>
      </c>
      <c r="F9">
        <v>12109</v>
      </c>
      <c r="G9">
        <v>1929</v>
      </c>
      <c r="H9">
        <v>8.7200000000000006</v>
      </c>
      <c r="I9">
        <v>406</v>
      </c>
      <c r="J9">
        <v>2</v>
      </c>
    </row>
    <row r="10" spans="1:10" ht="15" customHeight="1" x14ac:dyDescent="0.3">
      <c r="A10" s="18">
        <v>45756</v>
      </c>
      <c r="B10" t="s">
        <v>113</v>
      </c>
      <c r="C10" t="s">
        <v>112</v>
      </c>
      <c r="D10">
        <v>1991</v>
      </c>
      <c r="E10">
        <v>26.5</v>
      </c>
      <c r="F10">
        <v>12843</v>
      </c>
      <c r="G10">
        <v>1714</v>
      </c>
      <c r="H10">
        <v>9.25</v>
      </c>
      <c r="I10">
        <v>458</v>
      </c>
      <c r="J10">
        <v>2</v>
      </c>
    </row>
    <row r="11" spans="1:10" ht="15" customHeight="1" x14ac:dyDescent="0.3">
      <c r="A11" s="18">
        <v>45757</v>
      </c>
      <c r="B11" t="s">
        <v>114</v>
      </c>
      <c r="C11" t="s">
        <v>112</v>
      </c>
      <c r="D11">
        <v>1529</v>
      </c>
      <c r="E11">
        <v>26.4</v>
      </c>
      <c r="F11">
        <v>10330</v>
      </c>
      <c r="G11">
        <v>1699</v>
      </c>
      <c r="H11">
        <v>7.44</v>
      </c>
      <c r="I11">
        <v>475</v>
      </c>
      <c r="J11">
        <v>2</v>
      </c>
    </row>
    <row r="12" spans="1:10" ht="15" customHeight="1" x14ac:dyDescent="0.3">
      <c r="A12" s="18">
        <v>45758</v>
      </c>
      <c r="B12" t="s">
        <v>115</v>
      </c>
      <c r="C12" t="s">
        <v>112</v>
      </c>
      <c r="D12">
        <v>1828</v>
      </c>
      <c r="E12">
        <v>26.8</v>
      </c>
      <c r="F12">
        <v>12148</v>
      </c>
      <c r="G12">
        <v>2077</v>
      </c>
      <c r="H12">
        <v>8.75</v>
      </c>
      <c r="I12">
        <v>513</v>
      </c>
      <c r="J12">
        <v>0</v>
      </c>
    </row>
    <row r="13" spans="1:10" ht="15" customHeight="1" x14ac:dyDescent="0.3">
      <c r="A13" s="18">
        <v>45759</v>
      </c>
      <c r="B13" t="s">
        <v>116</v>
      </c>
      <c r="C13" t="s">
        <v>112</v>
      </c>
      <c r="D13">
        <v>1710</v>
      </c>
      <c r="E13">
        <v>24</v>
      </c>
      <c r="F13">
        <v>11688</v>
      </c>
      <c r="G13">
        <v>1507</v>
      </c>
      <c r="H13">
        <v>8.42</v>
      </c>
      <c r="I13">
        <v>506</v>
      </c>
      <c r="J13">
        <v>2</v>
      </c>
    </row>
    <row r="14" spans="1:10" ht="15" customHeight="1" x14ac:dyDescent="0.3">
      <c r="A14" s="18">
        <v>45760</v>
      </c>
      <c r="B14" t="s">
        <v>117</v>
      </c>
      <c r="C14" t="s">
        <v>118</v>
      </c>
      <c r="D14">
        <v>0</v>
      </c>
      <c r="E14">
        <v>26</v>
      </c>
      <c r="F14">
        <v>2014</v>
      </c>
      <c r="G14">
        <v>1475</v>
      </c>
      <c r="H14">
        <v>1.45</v>
      </c>
      <c r="I14">
        <v>389</v>
      </c>
      <c r="J14">
        <v>2</v>
      </c>
    </row>
    <row r="15" spans="1:10" ht="15" customHeight="1" x14ac:dyDescent="0.3">
      <c r="A15" s="18">
        <v>45761</v>
      </c>
      <c r="B15" t="s">
        <v>119</v>
      </c>
      <c r="C15" t="s">
        <v>112</v>
      </c>
      <c r="D15">
        <v>1768</v>
      </c>
      <c r="E15">
        <v>28.3</v>
      </c>
      <c r="F15">
        <v>11944</v>
      </c>
      <c r="G15">
        <v>1419</v>
      </c>
      <c r="H15">
        <v>8.6</v>
      </c>
      <c r="I15">
        <v>471</v>
      </c>
      <c r="J15">
        <v>1</v>
      </c>
    </row>
    <row r="16" spans="1:10" ht="15" customHeight="1" x14ac:dyDescent="0.3">
      <c r="A16" s="18">
        <v>45762</v>
      </c>
      <c r="B16" t="s">
        <v>111</v>
      </c>
      <c r="C16" t="s">
        <v>112</v>
      </c>
      <c r="D16">
        <v>1591</v>
      </c>
      <c r="E16">
        <v>27.7</v>
      </c>
      <c r="F16">
        <v>11009</v>
      </c>
      <c r="G16">
        <v>1119</v>
      </c>
      <c r="H16">
        <v>7.93</v>
      </c>
      <c r="I16">
        <v>454</v>
      </c>
      <c r="J16">
        <v>2</v>
      </c>
    </row>
    <row r="17" spans="1:10" ht="15" customHeight="1" x14ac:dyDescent="0.3">
      <c r="A17" s="18">
        <v>45763</v>
      </c>
      <c r="B17" t="s">
        <v>113</v>
      </c>
      <c r="C17" t="s">
        <v>112</v>
      </c>
      <c r="D17">
        <v>1813</v>
      </c>
      <c r="E17">
        <v>27.3</v>
      </c>
      <c r="F17">
        <v>11934</v>
      </c>
      <c r="G17">
        <v>1819</v>
      </c>
      <c r="H17">
        <v>8.59</v>
      </c>
      <c r="I17">
        <v>476</v>
      </c>
      <c r="J17">
        <v>1</v>
      </c>
    </row>
    <row r="18" spans="1:10" ht="15" customHeight="1" x14ac:dyDescent="0.3">
      <c r="A18" s="18">
        <v>45764</v>
      </c>
      <c r="B18" t="s">
        <v>114</v>
      </c>
      <c r="C18" t="s">
        <v>112</v>
      </c>
      <c r="D18">
        <v>1724</v>
      </c>
      <c r="E18">
        <v>28.2</v>
      </c>
      <c r="F18">
        <v>11765</v>
      </c>
      <c r="G18">
        <v>1347</v>
      </c>
      <c r="H18">
        <v>8.4700000000000006</v>
      </c>
      <c r="I18">
        <v>443</v>
      </c>
      <c r="J18">
        <v>2</v>
      </c>
    </row>
    <row r="19" spans="1:10" ht="15" customHeight="1" x14ac:dyDescent="0.3">
      <c r="A19" s="18">
        <v>45765</v>
      </c>
      <c r="B19" t="s">
        <v>115</v>
      </c>
      <c r="C19" t="s">
        <v>112</v>
      </c>
      <c r="D19">
        <v>1755</v>
      </c>
      <c r="E19">
        <v>29.7</v>
      </c>
      <c r="F19">
        <v>12468</v>
      </c>
      <c r="G19">
        <v>1586</v>
      </c>
      <c r="H19">
        <v>8.98</v>
      </c>
      <c r="I19">
        <v>416</v>
      </c>
      <c r="J19">
        <v>1</v>
      </c>
    </row>
    <row r="20" spans="1:10" ht="15" customHeight="1" x14ac:dyDescent="0.3">
      <c r="A20" s="18">
        <v>45766</v>
      </c>
      <c r="B20" t="s">
        <v>116</v>
      </c>
      <c r="C20" t="s">
        <v>112</v>
      </c>
      <c r="D20">
        <v>1883</v>
      </c>
      <c r="E20">
        <v>25.5</v>
      </c>
      <c r="F20">
        <v>11922</v>
      </c>
      <c r="G20">
        <v>1737</v>
      </c>
      <c r="H20">
        <v>8.58</v>
      </c>
      <c r="I20">
        <v>440</v>
      </c>
      <c r="J20">
        <v>0</v>
      </c>
    </row>
    <row r="21" spans="1:10" ht="15" customHeight="1" x14ac:dyDescent="0.3">
      <c r="A21" s="18">
        <v>45767</v>
      </c>
      <c r="B21" t="s">
        <v>117</v>
      </c>
      <c r="C21" t="s">
        <v>118</v>
      </c>
      <c r="D21">
        <v>0</v>
      </c>
      <c r="E21">
        <v>25.1</v>
      </c>
      <c r="F21">
        <v>2622</v>
      </c>
      <c r="G21">
        <v>1496</v>
      </c>
      <c r="H21">
        <v>1.89</v>
      </c>
      <c r="I21">
        <v>383</v>
      </c>
      <c r="J21">
        <v>1</v>
      </c>
    </row>
    <row r="22" spans="1:10" ht="15" customHeight="1" x14ac:dyDescent="0.3">
      <c r="A22" s="18">
        <v>45768</v>
      </c>
      <c r="B22" t="s">
        <v>119</v>
      </c>
      <c r="C22" t="s">
        <v>112</v>
      </c>
      <c r="D22">
        <v>2058</v>
      </c>
      <c r="E22">
        <v>24.5</v>
      </c>
      <c r="F22">
        <v>12829</v>
      </c>
      <c r="G22">
        <v>1297</v>
      </c>
      <c r="H22">
        <v>9.24</v>
      </c>
      <c r="I22">
        <v>476</v>
      </c>
      <c r="J22">
        <v>1</v>
      </c>
    </row>
    <row r="23" spans="1:10" ht="15" customHeight="1" x14ac:dyDescent="0.3">
      <c r="A23" s="18">
        <v>45769</v>
      </c>
      <c r="B23" t="s">
        <v>111</v>
      </c>
      <c r="C23" t="s">
        <v>112</v>
      </c>
      <c r="D23">
        <v>1750</v>
      </c>
      <c r="E23">
        <v>25.6</v>
      </c>
      <c r="F23">
        <v>12144</v>
      </c>
      <c r="G23">
        <v>1721</v>
      </c>
      <c r="H23">
        <v>8.74</v>
      </c>
      <c r="I23">
        <v>454</v>
      </c>
      <c r="J23">
        <v>2</v>
      </c>
    </row>
    <row r="24" spans="1:10" ht="15" customHeight="1" x14ac:dyDescent="0.3">
      <c r="A24" s="18">
        <v>45770</v>
      </c>
      <c r="B24" t="s">
        <v>113</v>
      </c>
      <c r="C24" t="s">
        <v>112</v>
      </c>
      <c r="D24">
        <v>1614</v>
      </c>
      <c r="E24">
        <v>27.4</v>
      </c>
      <c r="F24">
        <v>10960</v>
      </c>
      <c r="G24">
        <v>1799</v>
      </c>
      <c r="H24">
        <v>7.89</v>
      </c>
      <c r="I24">
        <v>453</v>
      </c>
      <c r="J24">
        <v>0</v>
      </c>
    </row>
    <row r="25" spans="1:10" ht="15" customHeight="1" x14ac:dyDescent="0.3">
      <c r="A25" s="18">
        <v>45771</v>
      </c>
      <c r="B25" t="s">
        <v>114</v>
      </c>
      <c r="C25" t="s">
        <v>112</v>
      </c>
      <c r="D25">
        <v>1771</v>
      </c>
      <c r="E25">
        <v>26.9</v>
      </c>
      <c r="F25">
        <v>11486</v>
      </c>
      <c r="G25">
        <v>1417</v>
      </c>
      <c r="H25">
        <v>8.27</v>
      </c>
      <c r="I25">
        <v>487</v>
      </c>
      <c r="J25">
        <v>1</v>
      </c>
    </row>
    <row r="26" spans="1:10" ht="15" customHeight="1" x14ac:dyDescent="0.3">
      <c r="A26" s="18">
        <v>45772</v>
      </c>
      <c r="B26" t="s">
        <v>115</v>
      </c>
      <c r="C26" t="s">
        <v>112</v>
      </c>
      <c r="D26">
        <v>1936</v>
      </c>
      <c r="E26">
        <v>28.7</v>
      </c>
      <c r="F26">
        <v>12488</v>
      </c>
      <c r="G26">
        <v>1751</v>
      </c>
      <c r="H26">
        <v>8.99</v>
      </c>
      <c r="I26">
        <v>465</v>
      </c>
      <c r="J26">
        <v>0</v>
      </c>
    </row>
    <row r="27" spans="1:10" ht="15" customHeight="1" x14ac:dyDescent="0.3">
      <c r="A27" s="18">
        <v>45773</v>
      </c>
      <c r="B27" t="s">
        <v>116</v>
      </c>
      <c r="C27" t="s">
        <v>112</v>
      </c>
      <c r="D27">
        <v>1689</v>
      </c>
      <c r="E27">
        <v>26.5</v>
      </c>
      <c r="F27">
        <v>11177</v>
      </c>
      <c r="G27">
        <v>1707</v>
      </c>
      <c r="H27">
        <v>8.0500000000000007</v>
      </c>
      <c r="I27">
        <v>384</v>
      </c>
      <c r="J27">
        <v>2</v>
      </c>
    </row>
    <row r="28" spans="1:10" ht="15" customHeight="1" x14ac:dyDescent="0.3">
      <c r="A28" s="18">
        <v>45774</v>
      </c>
      <c r="B28" t="s">
        <v>117</v>
      </c>
      <c r="C28" t="s">
        <v>118</v>
      </c>
      <c r="D28">
        <v>0</v>
      </c>
      <c r="E28">
        <v>29.8</v>
      </c>
      <c r="F28">
        <v>2886</v>
      </c>
      <c r="G28">
        <v>1540</v>
      </c>
      <c r="H28">
        <v>2.08</v>
      </c>
      <c r="I28">
        <v>406</v>
      </c>
      <c r="J28">
        <v>0</v>
      </c>
    </row>
    <row r="29" spans="1:10" ht="15" customHeight="1" x14ac:dyDescent="0.3">
      <c r="A29" s="18">
        <v>45775</v>
      </c>
      <c r="B29" t="s">
        <v>119</v>
      </c>
      <c r="C29" t="s">
        <v>112</v>
      </c>
      <c r="D29">
        <v>1566</v>
      </c>
      <c r="E29">
        <v>26.8</v>
      </c>
      <c r="F29">
        <v>10883</v>
      </c>
      <c r="G29">
        <v>1728</v>
      </c>
      <c r="H29">
        <v>7.84</v>
      </c>
      <c r="I29">
        <v>447</v>
      </c>
      <c r="J29">
        <v>2</v>
      </c>
    </row>
    <row r="30" spans="1:10" ht="15" customHeight="1" x14ac:dyDescent="0.3">
      <c r="A30" s="18">
        <v>45776</v>
      </c>
      <c r="B30" t="s">
        <v>111</v>
      </c>
      <c r="C30" t="s">
        <v>112</v>
      </c>
      <c r="D30">
        <v>1813</v>
      </c>
      <c r="E30">
        <v>31.4</v>
      </c>
      <c r="F30">
        <v>12781</v>
      </c>
      <c r="G30">
        <v>1441</v>
      </c>
      <c r="H30">
        <v>9.1999999999999993</v>
      </c>
      <c r="I30">
        <v>399</v>
      </c>
      <c r="J30">
        <v>0</v>
      </c>
    </row>
    <row r="31" spans="1:10" ht="15" customHeight="1" x14ac:dyDescent="0.3">
      <c r="A31" s="18">
        <v>45777</v>
      </c>
      <c r="B31" t="s">
        <v>113</v>
      </c>
      <c r="C31" t="s">
        <v>112</v>
      </c>
      <c r="D31">
        <v>1969</v>
      </c>
      <c r="E31">
        <v>27.9</v>
      </c>
      <c r="F31">
        <v>13239</v>
      </c>
      <c r="G31">
        <v>1441</v>
      </c>
      <c r="H31">
        <v>9.5299999999999994</v>
      </c>
      <c r="I31">
        <v>436</v>
      </c>
      <c r="J31">
        <v>0</v>
      </c>
    </row>
    <row r="32" spans="1:10" ht="15" customHeight="1" x14ac:dyDescent="0.3">
      <c r="A32" s="18">
        <v>45778</v>
      </c>
      <c r="B32" t="s">
        <v>114</v>
      </c>
      <c r="C32" t="s">
        <v>112</v>
      </c>
      <c r="D32">
        <v>1817</v>
      </c>
      <c r="E32">
        <v>27</v>
      </c>
      <c r="F32">
        <v>12317</v>
      </c>
      <c r="G32">
        <v>1448</v>
      </c>
      <c r="H32">
        <v>8.8699999999999992</v>
      </c>
      <c r="I32">
        <v>402</v>
      </c>
      <c r="J32">
        <v>0</v>
      </c>
    </row>
    <row r="33" spans="1:10" ht="15" customHeight="1" x14ac:dyDescent="0.3">
      <c r="A33" s="18">
        <v>45779</v>
      </c>
      <c r="B33" t="s">
        <v>115</v>
      </c>
      <c r="C33" t="s">
        <v>112</v>
      </c>
      <c r="D33">
        <v>1888</v>
      </c>
      <c r="E33">
        <v>27.1</v>
      </c>
      <c r="F33">
        <v>12468</v>
      </c>
      <c r="G33">
        <v>1576</v>
      </c>
      <c r="H33">
        <v>8.98</v>
      </c>
      <c r="I33">
        <v>518</v>
      </c>
      <c r="J33">
        <v>2</v>
      </c>
    </row>
    <row r="34" spans="1:10" ht="15" customHeight="1" x14ac:dyDescent="0.3">
      <c r="A34" s="18">
        <v>45780</v>
      </c>
      <c r="B34" t="s">
        <v>116</v>
      </c>
      <c r="C34" t="s">
        <v>112</v>
      </c>
      <c r="D34">
        <v>1893</v>
      </c>
      <c r="E34">
        <v>28.3</v>
      </c>
      <c r="F34">
        <v>12592</v>
      </c>
      <c r="G34">
        <v>1651</v>
      </c>
      <c r="H34">
        <v>9.07</v>
      </c>
      <c r="I34">
        <v>419</v>
      </c>
      <c r="J34">
        <v>1</v>
      </c>
    </row>
    <row r="35" spans="1:10" ht="15" customHeight="1" x14ac:dyDescent="0.3">
      <c r="A35" s="18">
        <v>45781</v>
      </c>
      <c r="B35" t="s">
        <v>117</v>
      </c>
      <c r="C35" t="s">
        <v>118</v>
      </c>
      <c r="D35">
        <v>0</v>
      </c>
      <c r="E35">
        <v>28.4</v>
      </c>
      <c r="F35">
        <v>2343</v>
      </c>
      <c r="G35">
        <v>1714</v>
      </c>
      <c r="H35">
        <v>1.69</v>
      </c>
      <c r="I35">
        <v>412</v>
      </c>
      <c r="J35">
        <v>0</v>
      </c>
    </row>
    <row r="36" spans="1:10" ht="15" customHeight="1" x14ac:dyDescent="0.3">
      <c r="A36" s="18">
        <v>45782</v>
      </c>
      <c r="B36" t="s">
        <v>119</v>
      </c>
      <c r="C36" t="s">
        <v>112</v>
      </c>
      <c r="D36">
        <v>1930</v>
      </c>
      <c r="E36">
        <v>31.3</v>
      </c>
      <c r="F36">
        <v>13198</v>
      </c>
      <c r="G36">
        <v>1767</v>
      </c>
      <c r="H36">
        <v>9.5</v>
      </c>
      <c r="I36">
        <v>390</v>
      </c>
      <c r="J36">
        <v>2</v>
      </c>
    </row>
    <row r="37" spans="1:10" ht="15" customHeight="1" x14ac:dyDescent="0.3">
      <c r="A37" s="18">
        <v>45783</v>
      </c>
      <c r="B37" t="s">
        <v>111</v>
      </c>
      <c r="C37" t="s">
        <v>112</v>
      </c>
      <c r="D37">
        <v>1869</v>
      </c>
      <c r="E37">
        <v>26.6</v>
      </c>
      <c r="F37">
        <v>11833</v>
      </c>
      <c r="G37">
        <v>1677</v>
      </c>
      <c r="H37">
        <v>8.52</v>
      </c>
      <c r="I37">
        <v>399</v>
      </c>
      <c r="J37">
        <v>1</v>
      </c>
    </row>
    <row r="38" spans="1:10" ht="15" customHeight="1" x14ac:dyDescent="0.3">
      <c r="A38" s="18">
        <v>45784</v>
      </c>
      <c r="B38" t="s">
        <v>113</v>
      </c>
      <c r="C38" t="s">
        <v>112</v>
      </c>
      <c r="D38">
        <v>1650</v>
      </c>
      <c r="E38">
        <v>29.4</v>
      </c>
      <c r="F38">
        <v>12108</v>
      </c>
      <c r="G38">
        <v>1953</v>
      </c>
      <c r="H38">
        <v>8.7200000000000006</v>
      </c>
      <c r="I38">
        <v>434</v>
      </c>
      <c r="J38">
        <v>1</v>
      </c>
    </row>
    <row r="39" spans="1:10" ht="15" customHeight="1" x14ac:dyDescent="0.3">
      <c r="A39" s="18">
        <v>45785</v>
      </c>
      <c r="B39" t="s">
        <v>114</v>
      </c>
      <c r="C39" t="s">
        <v>112</v>
      </c>
      <c r="D39">
        <v>1681</v>
      </c>
      <c r="E39">
        <v>26</v>
      </c>
      <c r="F39">
        <v>10670</v>
      </c>
      <c r="G39">
        <v>1533</v>
      </c>
      <c r="H39">
        <v>7.68</v>
      </c>
      <c r="I39">
        <v>501</v>
      </c>
      <c r="J39">
        <v>0</v>
      </c>
    </row>
    <row r="40" spans="1:10" ht="15" customHeight="1" x14ac:dyDescent="0.3">
      <c r="A40" s="18">
        <v>45786</v>
      </c>
      <c r="B40" t="s">
        <v>115</v>
      </c>
      <c r="C40" t="s">
        <v>112</v>
      </c>
      <c r="D40">
        <v>2032</v>
      </c>
      <c r="E40">
        <v>31</v>
      </c>
      <c r="F40">
        <v>14188</v>
      </c>
      <c r="G40">
        <v>1757</v>
      </c>
      <c r="H40">
        <v>10.220000000000001</v>
      </c>
      <c r="I40">
        <v>464</v>
      </c>
      <c r="J40">
        <v>0</v>
      </c>
    </row>
    <row r="41" spans="1:10" ht="15" customHeight="1" x14ac:dyDescent="0.3">
      <c r="A41" s="18">
        <v>45787</v>
      </c>
      <c r="B41" t="s">
        <v>116</v>
      </c>
      <c r="C41" t="s">
        <v>112</v>
      </c>
      <c r="D41">
        <v>1807</v>
      </c>
      <c r="E41">
        <v>30.9</v>
      </c>
      <c r="F41">
        <v>12348</v>
      </c>
      <c r="G41">
        <v>1336</v>
      </c>
      <c r="H41">
        <v>8.89</v>
      </c>
      <c r="I41">
        <v>429</v>
      </c>
      <c r="J41">
        <v>2</v>
      </c>
    </row>
    <row r="42" spans="1:10" ht="15" customHeight="1" x14ac:dyDescent="0.3">
      <c r="A42" s="18">
        <v>45788</v>
      </c>
      <c r="B42" t="s">
        <v>117</v>
      </c>
      <c r="C42" t="s">
        <v>118</v>
      </c>
      <c r="D42">
        <v>0</v>
      </c>
      <c r="E42">
        <v>30.3</v>
      </c>
      <c r="F42">
        <v>3054</v>
      </c>
      <c r="G42">
        <v>1863</v>
      </c>
      <c r="H42">
        <v>2.2000000000000002</v>
      </c>
      <c r="I42">
        <v>448</v>
      </c>
      <c r="J42">
        <v>2</v>
      </c>
    </row>
    <row r="43" spans="1:10" ht="15" customHeight="1" x14ac:dyDescent="0.3">
      <c r="A43" s="18">
        <v>45789</v>
      </c>
      <c r="B43" t="s">
        <v>119</v>
      </c>
      <c r="C43" t="s">
        <v>112</v>
      </c>
      <c r="D43">
        <v>1871</v>
      </c>
      <c r="E43">
        <v>27.4</v>
      </c>
      <c r="F43">
        <v>11998</v>
      </c>
      <c r="G43">
        <v>1742</v>
      </c>
      <c r="H43">
        <v>8.64</v>
      </c>
      <c r="I43">
        <v>382</v>
      </c>
      <c r="J43">
        <v>1</v>
      </c>
    </row>
    <row r="44" spans="1:10" ht="15" customHeight="1" x14ac:dyDescent="0.3">
      <c r="A44" s="18">
        <v>45790</v>
      </c>
      <c r="B44" t="s">
        <v>111</v>
      </c>
      <c r="C44" t="s">
        <v>112</v>
      </c>
      <c r="D44">
        <v>1812</v>
      </c>
      <c r="E44">
        <v>28.8</v>
      </c>
      <c r="F44">
        <v>12379</v>
      </c>
      <c r="G44">
        <v>1756</v>
      </c>
      <c r="H44">
        <v>8.91</v>
      </c>
      <c r="I44">
        <v>431</v>
      </c>
      <c r="J44">
        <v>2</v>
      </c>
    </row>
    <row r="45" spans="1:10" ht="15" customHeight="1" x14ac:dyDescent="0.3">
      <c r="A45" s="18">
        <v>45791</v>
      </c>
      <c r="B45" t="s">
        <v>113</v>
      </c>
      <c r="C45" t="s">
        <v>112</v>
      </c>
      <c r="D45">
        <v>1964</v>
      </c>
      <c r="E45">
        <v>30.7</v>
      </c>
      <c r="F45">
        <v>14144</v>
      </c>
      <c r="G45">
        <v>1701</v>
      </c>
      <c r="H45">
        <v>10.18</v>
      </c>
      <c r="I45">
        <v>462</v>
      </c>
      <c r="J45">
        <v>0</v>
      </c>
    </row>
    <row r="46" spans="1:10" ht="15" customHeight="1" x14ac:dyDescent="0.3">
      <c r="A46" s="18">
        <v>45792</v>
      </c>
      <c r="B46" t="s">
        <v>114</v>
      </c>
      <c r="C46" t="s">
        <v>112</v>
      </c>
      <c r="D46">
        <v>1972</v>
      </c>
      <c r="E46">
        <v>30.1</v>
      </c>
      <c r="F46">
        <v>14259</v>
      </c>
      <c r="G46">
        <v>1601</v>
      </c>
      <c r="H46">
        <v>10.27</v>
      </c>
      <c r="I46">
        <v>483</v>
      </c>
      <c r="J46">
        <v>2</v>
      </c>
    </row>
    <row r="47" spans="1:10" ht="15" customHeight="1" x14ac:dyDescent="0.3">
      <c r="A47" s="18">
        <v>45793</v>
      </c>
      <c r="B47" t="s">
        <v>115</v>
      </c>
      <c r="C47" t="s">
        <v>112</v>
      </c>
      <c r="D47">
        <v>1857</v>
      </c>
      <c r="E47">
        <v>30</v>
      </c>
      <c r="F47">
        <v>12729</v>
      </c>
      <c r="G47">
        <v>1849</v>
      </c>
      <c r="H47">
        <v>9.17</v>
      </c>
      <c r="I47">
        <v>424</v>
      </c>
      <c r="J47">
        <v>0</v>
      </c>
    </row>
    <row r="48" spans="1:10" ht="15" customHeight="1" x14ac:dyDescent="0.3">
      <c r="A48" s="18">
        <v>45794</v>
      </c>
      <c r="B48" t="s">
        <v>116</v>
      </c>
      <c r="C48" t="s">
        <v>112</v>
      </c>
      <c r="D48">
        <v>1852</v>
      </c>
      <c r="E48">
        <v>31.1</v>
      </c>
      <c r="F48">
        <v>13027</v>
      </c>
      <c r="G48">
        <v>1428</v>
      </c>
      <c r="H48">
        <v>9.3800000000000008</v>
      </c>
      <c r="I48">
        <v>476</v>
      </c>
      <c r="J48">
        <v>0</v>
      </c>
    </row>
    <row r="49" spans="1:10" ht="15" customHeight="1" x14ac:dyDescent="0.3">
      <c r="A49" s="18">
        <v>45795</v>
      </c>
      <c r="B49" t="s">
        <v>117</v>
      </c>
      <c r="C49" t="s">
        <v>118</v>
      </c>
      <c r="D49">
        <v>0</v>
      </c>
      <c r="E49">
        <v>31.1</v>
      </c>
      <c r="F49">
        <v>3251</v>
      </c>
      <c r="G49">
        <v>1539</v>
      </c>
      <c r="H49">
        <v>2.34</v>
      </c>
      <c r="I49">
        <v>381</v>
      </c>
      <c r="J49">
        <v>2</v>
      </c>
    </row>
    <row r="50" spans="1:10" ht="15" customHeight="1" x14ac:dyDescent="0.3">
      <c r="A50" s="18">
        <v>45796</v>
      </c>
      <c r="B50" t="s">
        <v>119</v>
      </c>
      <c r="C50" t="s">
        <v>112</v>
      </c>
      <c r="D50">
        <v>1657</v>
      </c>
      <c r="E50">
        <v>29.4</v>
      </c>
      <c r="F50">
        <v>11728</v>
      </c>
      <c r="G50">
        <v>1794</v>
      </c>
      <c r="H50">
        <v>8.44</v>
      </c>
      <c r="I50">
        <v>426</v>
      </c>
      <c r="J50">
        <v>2</v>
      </c>
    </row>
    <row r="51" spans="1:10" ht="15" customHeight="1" x14ac:dyDescent="0.3">
      <c r="A51" s="18">
        <v>45797</v>
      </c>
      <c r="B51" t="s">
        <v>111</v>
      </c>
      <c r="C51" t="s">
        <v>112</v>
      </c>
      <c r="D51">
        <v>1672</v>
      </c>
      <c r="E51">
        <v>29.2</v>
      </c>
      <c r="F51">
        <v>12147</v>
      </c>
      <c r="G51">
        <v>1618</v>
      </c>
      <c r="H51">
        <v>8.75</v>
      </c>
      <c r="I51">
        <v>424</v>
      </c>
      <c r="J51">
        <v>1</v>
      </c>
    </row>
    <row r="52" spans="1:10" ht="15" customHeight="1" x14ac:dyDescent="0.3">
      <c r="A52" s="18">
        <v>45798</v>
      </c>
      <c r="B52" t="s">
        <v>113</v>
      </c>
      <c r="C52" t="s">
        <v>112</v>
      </c>
      <c r="D52">
        <v>1569</v>
      </c>
      <c r="E52">
        <v>32.4</v>
      </c>
      <c r="F52">
        <v>12338</v>
      </c>
      <c r="G52">
        <v>1415</v>
      </c>
      <c r="H52">
        <v>8.8800000000000008</v>
      </c>
      <c r="I52">
        <v>511</v>
      </c>
      <c r="J52">
        <v>1</v>
      </c>
    </row>
    <row r="53" spans="1:10" ht="15" customHeight="1" x14ac:dyDescent="0.3">
      <c r="A53" s="18">
        <v>45799</v>
      </c>
      <c r="B53" t="s">
        <v>114</v>
      </c>
      <c r="C53" t="s">
        <v>112</v>
      </c>
      <c r="D53">
        <v>1731</v>
      </c>
      <c r="E53">
        <v>27.8</v>
      </c>
      <c r="F53">
        <v>12127</v>
      </c>
      <c r="G53">
        <v>1181</v>
      </c>
      <c r="H53">
        <v>8.73</v>
      </c>
      <c r="I53">
        <v>487</v>
      </c>
      <c r="J53">
        <v>2</v>
      </c>
    </row>
    <row r="54" spans="1:10" ht="15" customHeight="1" x14ac:dyDescent="0.3">
      <c r="A54" s="18">
        <v>45800</v>
      </c>
      <c r="B54" t="s">
        <v>115</v>
      </c>
      <c r="C54" t="s">
        <v>112</v>
      </c>
      <c r="D54">
        <v>1823</v>
      </c>
      <c r="E54">
        <v>28.7</v>
      </c>
      <c r="F54">
        <v>12509</v>
      </c>
      <c r="G54">
        <v>1389</v>
      </c>
      <c r="H54">
        <v>9.01</v>
      </c>
      <c r="I54">
        <v>386</v>
      </c>
      <c r="J54">
        <v>0</v>
      </c>
    </row>
    <row r="55" spans="1:10" ht="15" customHeight="1" x14ac:dyDescent="0.3">
      <c r="A55" s="18">
        <v>45801</v>
      </c>
      <c r="B55" t="s">
        <v>116</v>
      </c>
      <c r="C55" t="s">
        <v>112</v>
      </c>
      <c r="D55">
        <v>1726</v>
      </c>
      <c r="E55">
        <v>29.9</v>
      </c>
      <c r="F55">
        <v>12403</v>
      </c>
      <c r="G55">
        <v>1611</v>
      </c>
      <c r="H55">
        <v>8.93</v>
      </c>
      <c r="I55">
        <v>464</v>
      </c>
      <c r="J55">
        <v>0</v>
      </c>
    </row>
    <row r="56" spans="1:10" ht="15" customHeight="1" x14ac:dyDescent="0.3">
      <c r="A56" s="18">
        <v>45802</v>
      </c>
      <c r="B56" t="s">
        <v>117</v>
      </c>
      <c r="C56" t="s">
        <v>118</v>
      </c>
      <c r="D56">
        <v>0</v>
      </c>
      <c r="E56">
        <v>29.2</v>
      </c>
      <c r="F56">
        <v>3123</v>
      </c>
      <c r="G56">
        <v>1481</v>
      </c>
      <c r="H56">
        <v>2.25</v>
      </c>
      <c r="I56">
        <v>484</v>
      </c>
      <c r="J56">
        <v>0</v>
      </c>
    </row>
    <row r="57" spans="1:10" ht="15" customHeight="1" x14ac:dyDescent="0.3">
      <c r="A57" s="18">
        <v>45803</v>
      </c>
      <c r="B57" t="s">
        <v>119</v>
      </c>
      <c r="C57" t="s">
        <v>112</v>
      </c>
      <c r="D57">
        <v>1869</v>
      </c>
      <c r="E57">
        <v>29.7</v>
      </c>
      <c r="F57">
        <v>12791</v>
      </c>
      <c r="G57">
        <v>1650</v>
      </c>
      <c r="H57">
        <v>9.2100000000000009</v>
      </c>
      <c r="I57">
        <v>486</v>
      </c>
      <c r="J57">
        <v>0</v>
      </c>
    </row>
    <row r="58" spans="1:10" ht="15" customHeight="1" x14ac:dyDescent="0.3">
      <c r="A58" s="18">
        <v>45804</v>
      </c>
      <c r="B58" t="s">
        <v>111</v>
      </c>
      <c r="C58" t="s">
        <v>112</v>
      </c>
      <c r="D58">
        <v>1870</v>
      </c>
      <c r="E58">
        <v>32</v>
      </c>
      <c r="F58">
        <v>13529</v>
      </c>
      <c r="G58">
        <v>1306</v>
      </c>
      <c r="H58">
        <v>9.74</v>
      </c>
      <c r="I58">
        <v>448</v>
      </c>
      <c r="J58">
        <v>1</v>
      </c>
    </row>
    <row r="59" spans="1:10" ht="15" customHeight="1" x14ac:dyDescent="0.3">
      <c r="A59" s="18">
        <v>45805</v>
      </c>
      <c r="B59" t="s">
        <v>113</v>
      </c>
      <c r="C59" t="s">
        <v>112</v>
      </c>
      <c r="D59">
        <v>1934</v>
      </c>
      <c r="E59">
        <v>32.6</v>
      </c>
      <c r="F59">
        <v>13687</v>
      </c>
      <c r="G59">
        <v>1473</v>
      </c>
      <c r="H59">
        <v>9.85</v>
      </c>
      <c r="I59">
        <v>490</v>
      </c>
      <c r="J59">
        <v>2</v>
      </c>
    </row>
    <row r="60" spans="1:10" ht="15" customHeight="1" x14ac:dyDescent="0.3">
      <c r="A60" s="18">
        <v>45806</v>
      </c>
      <c r="B60" t="s">
        <v>114</v>
      </c>
      <c r="C60" t="s">
        <v>112</v>
      </c>
      <c r="D60">
        <v>1806</v>
      </c>
      <c r="E60">
        <v>32.9</v>
      </c>
      <c r="F60">
        <v>13132</v>
      </c>
      <c r="G60">
        <v>1645</v>
      </c>
      <c r="H60">
        <v>9.4499999999999993</v>
      </c>
      <c r="I60">
        <v>473</v>
      </c>
      <c r="J60">
        <v>2</v>
      </c>
    </row>
    <row r="61" spans="1:10" ht="15" customHeight="1" x14ac:dyDescent="0.3">
      <c r="A61" s="18">
        <v>45807</v>
      </c>
      <c r="B61" t="s">
        <v>115</v>
      </c>
      <c r="C61" t="s">
        <v>112</v>
      </c>
      <c r="D61">
        <v>1753</v>
      </c>
      <c r="E61">
        <v>30.9</v>
      </c>
      <c r="F61">
        <v>11842</v>
      </c>
      <c r="G61">
        <v>1482</v>
      </c>
      <c r="H61">
        <v>8.5299999999999994</v>
      </c>
      <c r="I61">
        <v>456</v>
      </c>
      <c r="J61">
        <v>1</v>
      </c>
    </row>
    <row r="62" spans="1:10" ht="15" customHeight="1" x14ac:dyDescent="0.3">
      <c r="A62" s="18">
        <v>45808</v>
      </c>
      <c r="B62" t="s">
        <v>116</v>
      </c>
      <c r="C62" t="s">
        <v>112</v>
      </c>
      <c r="D62">
        <v>1911</v>
      </c>
      <c r="E62">
        <v>29.6</v>
      </c>
      <c r="F62">
        <v>13437</v>
      </c>
      <c r="G62">
        <v>1608</v>
      </c>
      <c r="H62">
        <v>9.67</v>
      </c>
      <c r="I62">
        <v>441</v>
      </c>
      <c r="J62">
        <v>0</v>
      </c>
    </row>
    <row r="63" spans="1:10" ht="15" customHeight="1" x14ac:dyDescent="0.3">
      <c r="A63" s="18">
        <v>45809</v>
      </c>
      <c r="B63" t="s">
        <v>117</v>
      </c>
      <c r="C63" t="s">
        <v>118</v>
      </c>
      <c r="D63">
        <v>0</v>
      </c>
      <c r="E63">
        <v>29.9</v>
      </c>
      <c r="F63">
        <v>3483</v>
      </c>
      <c r="G63">
        <v>831</v>
      </c>
      <c r="H63">
        <v>2.5099999999999998</v>
      </c>
      <c r="I63">
        <v>431</v>
      </c>
      <c r="J63">
        <v>2</v>
      </c>
    </row>
    <row r="64" spans="1:10" ht="15" customHeight="1" x14ac:dyDescent="0.3">
      <c r="A64" s="18">
        <v>45810</v>
      </c>
      <c r="B64" t="s">
        <v>119</v>
      </c>
      <c r="C64" t="s">
        <v>112</v>
      </c>
      <c r="D64">
        <v>1869</v>
      </c>
      <c r="E64">
        <v>31.7</v>
      </c>
      <c r="F64">
        <v>13311</v>
      </c>
      <c r="G64">
        <v>967</v>
      </c>
      <c r="H64">
        <v>9.58</v>
      </c>
      <c r="I64">
        <v>489</v>
      </c>
      <c r="J64">
        <v>0</v>
      </c>
    </row>
    <row r="65" spans="1:10" ht="15" customHeight="1" x14ac:dyDescent="0.3">
      <c r="A65" s="18">
        <v>45811</v>
      </c>
      <c r="B65" t="s">
        <v>111</v>
      </c>
      <c r="C65" t="s">
        <v>112</v>
      </c>
      <c r="D65">
        <v>1841</v>
      </c>
      <c r="E65">
        <v>31.6</v>
      </c>
      <c r="F65">
        <v>12972</v>
      </c>
      <c r="G65">
        <v>611</v>
      </c>
      <c r="H65">
        <v>9.34</v>
      </c>
      <c r="I65">
        <v>448</v>
      </c>
      <c r="J65">
        <v>2</v>
      </c>
    </row>
    <row r="66" spans="1:10" ht="15" customHeight="1" x14ac:dyDescent="0.3">
      <c r="A66" s="18">
        <v>45812</v>
      </c>
      <c r="B66" t="s">
        <v>113</v>
      </c>
      <c r="C66" t="s">
        <v>112</v>
      </c>
      <c r="D66">
        <v>1856</v>
      </c>
      <c r="E66">
        <v>29.2</v>
      </c>
      <c r="F66">
        <v>12229</v>
      </c>
      <c r="G66">
        <v>455</v>
      </c>
      <c r="H66">
        <v>8.81</v>
      </c>
      <c r="I66">
        <v>480</v>
      </c>
      <c r="J66">
        <v>1</v>
      </c>
    </row>
    <row r="67" spans="1:10" ht="15" customHeight="1" x14ac:dyDescent="0.3">
      <c r="A67" s="18">
        <v>45813</v>
      </c>
      <c r="B67" t="s">
        <v>114</v>
      </c>
      <c r="C67" t="s">
        <v>112</v>
      </c>
      <c r="D67">
        <v>2004</v>
      </c>
      <c r="E67">
        <v>34.5</v>
      </c>
      <c r="F67">
        <v>14525</v>
      </c>
      <c r="G67">
        <v>603</v>
      </c>
      <c r="H67">
        <v>10.46</v>
      </c>
      <c r="I67">
        <v>466</v>
      </c>
      <c r="J67">
        <v>0</v>
      </c>
    </row>
    <row r="68" spans="1:10" ht="15" customHeight="1" x14ac:dyDescent="0.3">
      <c r="A68" s="18">
        <v>45814</v>
      </c>
      <c r="B68" t="s">
        <v>115</v>
      </c>
      <c r="C68" t="s">
        <v>112</v>
      </c>
      <c r="D68">
        <v>2017</v>
      </c>
      <c r="E68">
        <v>31.9</v>
      </c>
      <c r="F68">
        <v>13117</v>
      </c>
      <c r="G68">
        <v>376</v>
      </c>
      <c r="H68">
        <v>9.44</v>
      </c>
      <c r="I68">
        <v>450</v>
      </c>
      <c r="J68">
        <v>1</v>
      </c>
    </row>
    <row r="69" spans="1:10" ht="15" customHeight="1" x14ac:dyDescent="0.3">
      <c r="A69" s="18">
        <v>45815</v>
      </c>
      <c r="B69" t="s">
        <v>116</v>
      </c>
      <c r="C69" t="s">
        <v>112</v>
      </c>
      <c r="D69">
        <v>1980</v>
      </c>
      <c r="E69">
        <v>32</v>
      </c>
      <c r="F69">
        <v>13942</v>
      </c>
      <c r="G69">
        <v>538</v>
      </c>
      <c r="H69">
        <v>10.039999999999999</v>
      </c>
      <c r="I69">
        <v>440</v>
      </c>
      <c r="J69">
        <v>2</v>
      </c>
    </row>
    <row r="70" spans="1:10" ht="15" customHeight="1" x14ac:dyDescent="0.3">
      <c r="A70" s="18">
        <v>45816</v>
      </c>
      <c r="B70" t="s">
        <v>117</v>
      </c>
      <c r="C70" t="s">
        <v>118</v>
      </c>
      <c r="D70">
        <v>0</v>
      </c>
      <c r="E70">
        <v>30.9</v>
      </c>
      <c r="F70">
        <v>3510</v>
      </c>
      <c r="G70">
        <v>952</v>
      </c>
      <c r="H70">
        <v>2.5299999999999998</v>
      </c>
      <c r="I70">
        <v>461</v>
      </c>
      <c r="J70">
        <v>0</v>
      </c>
    </row>
    <row r="71" spans="1:10" ht="15" customHeight="1" x14ac:dyDescent="0.3">
      <c r="A71" s="18">
        <v>45817</v>
      </c>
      <c r="B71" t="s">
        <v>119</v>
      </c>
      <c r="C71" t="s">
        <v>112</v>
      </c>
      <c r="D71">
        <v>1808</v>
      </c>
      <c r="E71">
        <v>32.9</v>
      </c>
      <c r="F71">
        <v>13364</v>
      </c>
      <c r="G71">
        <v>291</v>
      </c>
      <c r="H71">
        <v>9.6199999999999992</v>
      </c>
      <c r="I71">
        <v>468</v>
      </c>
      <c r="J71">
        <v>1</v>
      </c>
    </row>
    <row r="72" spans="1:10" ht="15" customHeight="1" x14ac:dyDescent="0.3">
      <c r="A72" s="18">
        <v>45818</v>
      </c>
      <c r="B72" t="s">
        <v>111</v>
      </c>
      <c r="C72" t="s">
        <v>112</v>
      </c>
      <c r="D72">
        <v>1779</v>
      </c>
      <c r="E72">
        <v>29.8</v>
      </c>
      <c r="F72">
        <v>12538</v>
      </c>
      <c r="G72">
        <v>591</v>
      </c>
      <c r="H72">
        <v>9.0299999999999994</v>
      </c>
      <c r="I72">
        <v>517</v>
      </c>
      <c r="J72">
        <v>0</v>
      </c>
    </row>
    <row r="73" spans="1:10" ht="15" customHeight="1" x14ac:dyDescent="0.3">
      <c r="A73" s="18">
        <v>45819</v>
      </c>
      <c r="B73" t="s">
        <v>113</v>
      </c>
      <c r="C73" t="s">
        <v>112</v>
      </c>
      <c r="D73">
        <v>1665</v>
      </c>
      <c r="E73">
        <v>32.700000000000003</v>
      </c>
      <c r="F73">
        <v>12590</v>
      </c>
      <c r="G73">
        <v>612</v>
      </c>
      <c r="H73">
        <v>9.06</v>
      </c>
      <c r="I73">
        <v>506</v>
      </c>
      <c r="J73">
        <v>2</v>
      </c>
    </row>
    <row r="74" spans="1:10" ht="15" customHeight="1" x14ac:dyDescent="0.3">
      <c r="A74" s="18">
        <v>45820</v>
      </c>
      <c r="B74" t="s">
        <v>114</v>
      </c>
      <c r="C74" t="s">
        <v>112</v>
      </c>
      <c r="D74">
        <v>1991</v>
      </c>
      <c r="E74">
        <v>32.1</v>
      </c>
      <c r="F74">
        <v>14178</v>
      </c>
      <c r="G74">
        <v>701</v>
      </c>
      <c r="H74">
        <v>10.210000000000001</v>
      </c>
      <c r="I74">
        <v>423</v>
      </c>
      <c r="J74">
        <v>1</v>
      </c>
    </row>
    <row r="75" spans="1:10" ht="15" customHeight="1" x14ac:dyDescent="0.3">
      <c r="A75" s="18">
        <v>45821</v>
      </c>
      <c r="B75" t="s">
        <v>115</v>
      </c>
      <c r="C75" t="s">
        <v>112</v>
      </c>
      <c r="D75">
        <v>1613</v>
      </c>
      <c r="E75">
        <v>30.7</v>
      </c>
      <c r="F75">
        <v>11836</v>
      </c>
      <c r="G75">
        <v>995</v>
      </c>
      <c r="H75">
        <v>8.52</v>
      </c>
      <c r="I75">
        <v>477</v>
      </c>
      <c r="J75">
        <v>0</v>
      </c>
    </row>
    <row r="76" spans="1:10" ht="15" customHeight="1" x14ac:dyDescent="0.3">
      <c r="A76" s="18">
        <v>45822</v>
      </c>
      <c r="B76" t="s">
        <v>116</v>
      </c>
      <c r="C76" t="s">
        <v>112</v>
      </c>
      <c r="D76">
        <v>1674</v>
      </c>
      <c r="E76">
        <v>31.5</v>
      </c>
      <c r="F76">
        <v>12427</v>
      </c>
      <c r="G76">
        <v>869</v>
      </c>
      <c r="H76">
        <v>8.9499999999999993</v>
      </c>
      <c r="I76">
        <v>441</v>
      </c>
      <c r="J76">
        <v>0</v>
      </c>
    </row>
    <row r="77" spans="1:10" ht="15" customHeight="1" x14ac:dyDescent="0.3">
      <c r="A77" s="18">
        <v>45823</v>
      </c>
      <c r="B77" t="s">
        <v>117</v>
      </c>
      <c r="C77" t="s">
        <v>118</v>
      </c>
      <c r="D77">
        <v>0</v>
      </c>
      <c r="E77">
        <v>32.299999999999997</v>
      </c>
      <c r="F77">
        <v>3423</v>
      </c>
      <c r="G77">
        <v>696</v>
      </c>
      <c r="H77">
        <v>2.46</v>
      </c>
      <c r="I77">
        <v>511</v>
      </c>
      <c r="J77">
        <v>0</v>
      </c>
    </row>
    <row r="78" spans="1:10" ht="15" customHeight="1" x14ac:dyDescent="0.3">
      <c r="A78" s="18">
        <v>45824</v>
      </c>
      <c r="B78" t="s">
        <v>119</v>
      </c>
      <c r="C78" t="s">
        <v>112</v>
      </c>
      <c r="D78">
        <v>1812</v>
      </c>
      <c r="E78">
        <v>32.200000000000003</v>
      </c>
      <c r="F78">
        <v>13174</v>
      </c>
      <c r="G78">
        <v>781</v>
      </c>
      <c r="H78">
        <v>9.49</v>
      </c>
      <c r="I78">
        <v>480</v>
      </c>
      <c r="J78">
        <v>1</v>
      </c>
    </row>
    <row r="79" spans="1:10" ht="15" customHeight="1" x14ac:dyDescent="0.3">
      <c r="A79" s="18">
        <v>45825</v>
      </c>
      <c r="B79" t="s">
        <v>111</v>
      </c>
      <c r="C79" t="s">
        <v>112</v>
      </c>
      <c r="D79">
        <v>1645</v>
      </c>
      <c r="E79">
        <v>33</v>
      </c>
      <c r="F79">
        <v>12653</v>
      </c>
      <c r="G79">
        <v>698</v>
      </c>
      <c r="H79">
        <v>9.11</v>
      </c>
      <c r="I79">
        <v>396</v>
      </c>
      <c r="J79">
        <v>2</v>
      </c>
    </row>
    <row r="80" spans="1:10" ht="15" customHeight="1" x14ac:dyDescent="0.3">
      <c r="A80" s="18">
        <v>45826</v>
      </c>
      <c r="B80" t="s">
        <v>113</v>
      </c>
      <c r="C80" t="s">
        <v>112</v>
      </c>
      <c r="D80">
        <v>1830</v>
      </c>
      <c r="E80">
        <v>33</v>
      </c>
      <c r="F80">
        <v>13625</v>
      </c>
      <c r="G80">
        <v>896</v>
      </c>
      <c r="H80">
        <v>9.81</v>
      </c>
      <c r="I80">
        <v>449</v>
      </c>
      <c r="J80">
        <v>0</v>
      </c>
    </row>
    <row r="81" spans="1:10" ht="15" customHeight="1" x14ac:dyDescent="0.3">
      <c r="A81" s="18">
        <v>45827</v>
      </c>
      <c r="B81" t="s">
        <v>114</v>
      </c>
      <c r="C81" t="s">
        <v>112</v>
      </c>
      <c r="D81">
        <v>1731</v>
      </c>
      <c r="E81">
        <v>32.299999999999997</v>
      </c>
      <c r="F81">
        <v>13113</v>
      </c>
      <c r="G81">
        <v>800</v>
      </c>
      <c r="H81">
        <v>9.44</v>
      </c>
      <c r="I81">
        <v>471</v>
      </c>
      <c r="J81">
        <v>0</v>
      </c>
    </row>
    <row r="82" spans="1:10" ht="15" customHeight="1" x14ac:dyDescent="0.3">
      <c r="A82" s="18">
        <v>45828</v>
      </c>
      <c r="B82" t="s">
        <v>115</v>
      </c>
      <c r="C82" t="s">
        <v>112</v>
      </c>
      <c r="D82">
        <v>1882</v>
      </c>
      <c r="E82">
        <v>33.299999999999997</v>
      </c>
      <c r="F82">
        <v>13219</v>
      </c>
      <c r="G82">
        <v>515</v>
      </c>
      <c r="H82">
        <v>9.52</v>
      </c>
      <c r="I82">
        <v>493</v>
      </c>
      <c r="J82">
        <v>1</v>
      </c>
    </row>
    <row r="83" spans="1:10" ht="15" customHeight="1" x14ac:dyDescent="0.3">
      <c r="A83" s="18">
        <v>45829</v>
      </c>
      <c r="B83" t="s">
        <v>116</v>
      </c>
      <c r="C83" t="s">
        <v>112</v>
      </c>
      <c r="D83">
        <v>1891</v>
      </c>
      <c r="E83">
        <v>31.4</v>
      </c>
      <c r="F83">
        <v>13459</v>
      </c>
      <c r="G83">
        <v>653</v>
      </c>
      <c r="H83">
        <v>9.69</v>
      </c>
      <c r="I83">
        <v>452</v>
      </c>
      <c r="J83">
        <v>2</v>
      </c>
    </row>
    <row r="84" spans="1:10" ht="15" customHeight="1" x14ac:dyDescent="0.3">
      <c r="A84" s="18">
        <v>45830</v>
      </c>
      <c r="B84" t="s">
        <v>117</v>
      </c>
      <c r="C84" t="s">
        <v>118</v>
      </c>
      <c r="D84">
        <v>0</v>
      </c>
      <c r="E84">
        <v>34.299999999999997</v>
      </c>
      <c r="F84">
        <v>4036</v>
      </c>
      <c r="G84">
        <v>1143</v>
      </c>
      <c r="H84">
        <v>2.91</v>
      </c>
      <c r="I84">
        <v>432</v>
      </c>
      <c r="J84">
        <v>2</v>
      </c>
    </row>
    <row r="85" spans="1:10" ht="15" customHeight="1" x14ac:dyDescent="0.3">
      <c r="A85" s="18">
        <v>45831</v>
      </c>
      <c r="B85" t="s">
        <v>119</v>
      </c>
      <c r="C85" t="s">
        <v>112</v>
      </c>
      <c r="D85">
        <v>1724</v>
      </c>
      <c r="E85">
        <v>31.9</v>
      </c>
      <c r="F85">
        <v>13001</v>
      </c>
      <c r="G85">
        <v>556</v>
      </c>
      <c r="H85">
        <v>9.36</v>
      </c>
      <c r="I85">
        <v>505</v>
      </c>
      <c r="J85">
        <v>2</v>
      </c>
    </row>
    <row r="86" spans="1:10" ht="15" customHeight="1" x14ac:dyDescent="0.3">
      <c r="A86" s="18">
        <v>45832</v>
      </c>
      <c r="B86" t="s">
        <v>111</v>
      </c>
      <c r="C86" t="s">
        <v>112</v>
      </c>
      <c r="D86">
        <v>1900</v>
      </c>
      <c r="E86">
        <v>31.2</v>
      </c>
      <c r="F86">
        <v>13875</v>
      </c>
      <c r="G86">
        <v>862</v>
      </c>
      <c r="H86">
        <v>9.99</v>
      </c>
      <c r="I86">
        <v>499</v>
      </c>
      <c r="J86">
        <v>1</v>
      </c>
    </row>
    <row r="87" spans="1:10" ht="15" customHeight="1" x14ac:dyDescent="0.3">
      <c r="A87" s="18">
        <v>45833</v>
      </c>
      <c r="B87" t="s">
        <v>113</v>
      </c>
      <c r="C87" t="s">
        <v>112</v>
      </c>
      <c r="D87">
        <v>1837</v>
      </c>
      <c r="E87">
        <v>31.6</v>
      </c>
      <c r="F87">
        <v>12864</v>
      </c>
      <c r="G87">
        <v>853</v>
      </c>
      <c r="H87">
        <v>9.26</v>
      </c>
      <c r="I87">
        <v>381</v>
      </c>
      <c r="J87">
        <v>0</v>
      </c>
    </row>
    <row r="88" spans="1:10" ht="15" customHeight="1" x14ac:dyDescent="0.3">
      <c r="A88" s="18">
        <v>45834</v>
      </c>
      <c r="B88" t="s">
        <v>114</v>
      </c>
      <c r="C88" t="s">
        <v>112</v>
      </c>
      <c r="D88">
        <v>1786</v>
      </c>
      <c r="E88">
        <v>36.799999999999997</v>
      </c>
      <c r="F88">
        <v>13514</v>
      </c>
      <c r="G88">
        <v>641</v>
      </c>
      <c r="H88">
        <v>9.73</v>
      </c>
      <c r="I88">
        <v>385</v>
      </c>
      <c r="J88">
        <v>1</v>
      </c>
    </row>
    <row r="89" spans="1:10" ht="15" customHeight="1" x14ac:dyDescent="0.3">
      <c r="A89" s="18">
        <v>45835</v>
      </c>
      <c r="B89" t="s">
        <v>115</v>
      </c>
      <c r="C89" t="s">
        <v>112</v>
      </c>
      <c r="D89">
        <v>1817</v>
      </c>
      <c r="E89">
        <v>32.299999999999997</v>
      </c>
      <c r="F89">
        <v>13659</v>
      </c>
      <c r="G89">
        <v>647</v>
      </c>
      <c r="H89">
        <v>9.83</v>
      </c>
      <c r="I89">
        <v>435</v>
      </c>
      <c r="J89">
        <v>1</v>
      </c>
    </row>
    <row r="90" spans="1:10" ht="15" customHeight="1" x14ac:dyDescent="0.3">
      <c r="A90" s="18">
        <v>45836</v>
      </c>
      <c r="B90" t="s">
        <v>116</v>
      </c>
      <c r="C90" t="s">
        <v>112</v>
      </c>
      <c r="D90">
        <v>2064</v>
      </c>
      <c r="E90">
        <v>30.1</v>
      </c>
      <c r="F90">
        <v>13493</v>
      </c>
      <c r="G90">
        <v>590</v>
      </c>
      <c r="H90">
        <v>9.7100000000000009</v>
      </c>
      <c r="I90">
        <v>384</v>
      </c>
      <c r="J90">
        <v>0</v>
      </c>
    </row>
    <row r="91" spans="1:10" ht="15" customHeight="1" x14ac:dyDescent="0.3">
      <c r="A91" s="18">
        <v>45837</v>
      </c>
      <c r="B91" t="s">
        <v>117</v>
      </c>
      <c r="C91" t="s">
        <v>118</v>
      </c>
      <c r="D91">
        <v>0</v>
      </c>
      <c r="E91">
        <v>32</v>
      </c>
      <c r="F91">
        <v>3910</v>
      </c>
      <c r="G91">
        <v>535</v>
      </c>
      <c r="H91">
        <v>2.82</v>
      </c>
      <c r="I91">
        <v>404</v>
      </c>
      <c r="J91">
        <v>1</v>
      </c>
    </row>
    <row r="92" spans="1:10" ht="15" customHeight="1" x14ac:dyDescent="0.3">
      <c r="A92" s="18">
        <v>45838</v>
      </c>
      <c r="B92" t="s">
        <v>119</v>
      </c>
      <c r="C92" t="s">
        <v>112</v>
      </c>
      <c r="D92">
        <v>1844</v>
      </c>
      <c r="E92">
        <v>33</v>
      </c>
      <c r="F92">
        <v>12914</v>
      </c>
      <c r="G92">
        <v>595</v>
      </c>
      <c r="H92">
        <v>9.3000000000000007</v>
      </c>
      <c r="I92">
        <v>488</v>
      </c>
      <c r="J92">
        <v>2</v>
      </c>
    </row>
    <row r="93" spans="1:10" ht="15" customHeight="1" x14ac:dyDescent="0.3">
      <c r="A93" s="18">
        <v>45839</v>
      </c>
      <c r="B93" t="s">
        <v>111</v>
      </c>
      <c r="C93" t="s">
        <v>112</v>
      </c>
      <c r="D93">
        <v>1642</v>
      </c>
      <c r="E93">
        <v>31.4</v>
      </c>
      <c r="F93">
        <v>12667</v>
      </c>
      <c r="G93">
        <v>626</v>
      </c>
      <c r="H93">
        <v>9.1199999999999992</v>
      </c>
      <c r="I93">
        <v>516</v>
      </c>
      <c r="J93">
        <v>2</v>
      </c>
    </row>
    <row r="94" spans="1:10" ht="15" customHeight="1" x14ac:dyDescent="0.3">
      <c r="A94" s="18">
        <v>45840</v>
      </c>
      <c r="B94" t="s">
        <v>113</v>
      </c>
      <c r="C94" t="s">
        <v>112</v>
      </c>
      <c r="D94">
        <v>1844</v>
      </c>
      <c r="E94">
        <v>32</v>
      </c>
      <c r="F94">
        <v>13420</v>
      </c>
      <c r="G94">
        <v>764</v>
      </c>
      <c r="H94">
        <v>9.66</v>
      </c>
      <c r="I94">
        <v>430</v>
      </c>
      <c r="J94">
        <v>0</v>
      </c>
    </row>
    <row r="95" spans="1:10" ht="15" customHeight="1" x14ac:dyDescent="0.3">
      <c r="A95" s="18">
        <v>45841</v>
      </c>
      <c r="B95" t="s">
        <v>114</v>
      </c>
      <c r="C95" t="s">
        <v>112</v>
      </c>
      <c r="D95">
        <v>1833</v>
      </c>
      <c r="E95">
        <v>35.4</v>
      </c>
      <c r="F95">
        <v>14091</v>
      </c>
      <c r="G95">
        <v>786</v>
      </c>
      <c r="H95">
        <v>10.15</v>
      </c>
      <c r="I95">
        <v>506</v>
      </c>
      <c r="J95">
        <v>0</v>
      </c>
    </row>
    <row r="96" spans="1:10" ht="15" customHeight="1" x14ac:dyDescent="0.3">
      <c r="A96" s="18">
        <v>45842</v>
      </c>
      <c r="B96" t="s">
        <v>115</v>
      </c>
      <c r="C96" t="s">
        <v>112</v>
      </c>
      <c r="D96">
        <v>1808</v>
      </c>
      <c r="E96">
        <v>33.700000000000003</v>
      </c>
      <c r="F96">
        <v>12987</v>
      </c>
      <c r="G96">
        <v>572</v>
      </c>
      <c r="H96">
        <v>9.35</v>
      </c>
      <c r="I96">
        <v>453</v>
      </c>
      <c r="J96">
        <v>2</v>
      </c>
    </row>
    <row r="97" spans="1:10" ht="15" customHeight="1" x14ac:dyDescent="0.3">
      <c r="A97" s="18">
        <v>45843</v>
      </c>
      <c r="B97" t="s">
        <v>116</v>
      </c>
      <c r="C97" t="s">
        <v>112</v>
      </c>
      <c r="D97">
        <v>1583</v>
      </c>
      <c r="E97">
        <v>32.299999999999997</v>
      </c>
      <c r="F97">
        <v>11835</v>
      </c>
      <c r="G97">
        <v>683</v>
      </c>
      <c r="H97">
        <v>8.52</v>
      </c>
      <c r="I97">
        <v>467</v>
      </c>
      <c r="J97">
        <v>0</v>
      </c>
    </row>
    <row r="98" spans="1:10" ht="15" customHeight="1" x14ac:dyDescent="0.3">
      <c r="A98" s="18">
        <v>45844</v>
      </c>
      <c r="B98" t="s">
        <v>117</v>
      </c>
      <c r="C98" t="s">
        <v>118</v>
      </c>
      <c r="D98">
        <v>0</v>
      </c>
      <c r="E98">
        <v>30.6</v>
      </c>
      <c r="F98">
        <v>3060</v>
      </c>
      <c r="G98">
        <v>718</v>
      </c>
      <c r="H98">
        <v>2.2000000000000002</v>
      </c>
      <c r="I98">
        <v>434</v>
      </c>
      <c r="J98">
        <v>0</v>
      </c>
    </row>
    <row r="99" spans="1:10" ht="15" customHeight="1" x14ac:dyDescent="0.3">
      <c r="A99" s="18">
        <v>45845</v>
      </c>
      <c r="B99" t="s">
        <v>119</v>
      </c>
      <c r="C99" t="s">
        <v>112</v>
      </c>
      <c r="D99">
        <v>1773</v>
      </c>
      <c r="E99">
        <v>37</v>
      </c>
      <c r="F99">
        <v>13953</v>
      </c>
      <c r="G99">
        <v>886</v>
      </c>
      <c r="H99">
        <v>10.050000000000001</v>
      </c>
      <c r="I99">
        <v>506</v>
      </c>
      <c r="J99">
        <v>0</v>
      </c>
    </row>
    <row r="100" spans="1:10" ht="15" customHeight="1" x14ac:dyDescent="0.3">
      <c r="A100" s="18">
        <v>45846</v>
      </c>
      <c r="B100" t="s">
        <v>111</v>
      </c>
      <c r="C100" t="s">
        <v>112</v>
      </c>
      <c r="D100">
        <v>1846</v>
      </c>
      <c r="E100">
        <v>31.9</v>
      </c>
      <c r="F100">
        <v>12770</v>
      </c>
      <c r="G100">
        <v>413</v>
      </c>
      <c r="H100">
        <v>9.19</v>
      </c>
      <c r="I100">
        <v>394</v>
      </c>
      <c r="J100">
        <v>0</v>
      </c>
    </row>
    <row r="101" spans="1:10" ht="15" customHeight="1" x14ac:dyDescent="0.3">
      <c r="A101" s="18">
        <v>45847</v>
      </c>
      <c r="B101" t="s">
        <v>113</v>
      </c>
      <c r="C101" t="s">
        <v>112</v>
      </c>
      <c r="D101">
        <v>1626</v>
      </c>
      <c r="E101">
        <v>32.299999999999997</v>
      </c>
      <c r="F101">
        <v>11826</v>
      </c>
      <c r="G101">
        <v>662</v>
      </c>
      <c r="H101">
        <v>8.51</v>
      </c>
      <c r="I101">
        <v>457</v>
      </c>
      <c r="J101">
        <v>1</v>
      </c>
    </row>
    <row r="102" spans="1:10" ht="15" customHeight="1" x14ac:dyDescent="0.3">
      <c r="A102" s="18">
        <v>45848</v>
      </c>
      <c r="B102" t="s">
        <v>114</v>
      </c>
      <c r="C102" t="s">
        <v>112</v>
      </c>
      <c r="D102">
        <v>1863</v>
      </c>
      <c r="E102">
        <v>30.8</v>
      </c>
      <c r="F102">
        <v>12881</v>
      </c>
      <c r="G102">
        <v>505</v>
      </c>
      <c r="H102">
        <v>9.27</v>
      </c>
      <c r="I102">
        <v>498</v>
      </c>
      <c r="J102">
        <v>2</v>
      </c>
    </row>
    <row r="103" spans="1:10" ht="15" customHeight="1" x14ac:dyDescent="0.3">
      <c r="A103" s="18">
        <v>45849</v>
      </c>
      <c r="B103" t="s">
        <v>115</v>
      </c>
      <c r="C103" t="s">
        <v>112</v>
      </c>
      <c r="D103">
        <v>1829</v>
      </c>
      <c r="E103">
        <v>33</v>
      </c>
      <c r="F103">
        <v>12840</v>
      </c>
      <c r="G103">
        <v>648</v>
      </c>
      <c r="H103">
        <v>9.24</v>
      </c>
      <c r="I103">
        <v>427</v>
      </c>
      <c r="J103">
        <v>1</v>
      </c>
    </row>
    <row r="104" spans="1:10" ht="15" customHeight="1" x14ac:dyDescent="0.3">
      <c r="A104" s="18">
        <v>45850</v>
      </c>
      <c r="B104" t="s">
        <v>116</v>
      </c>
      <c r="C104" t="s">
        <v>112</v>
      </c>
      <c r="D104">
        <v>2120</v>
      </c>
      <c r="E104">
        <v>32.9</v>
      </c>
      <c r="F104">
        <v>15044</v>
      </c>
      <c r="G104">
        <v>869</v>
      </c>
      <c r="H104">
        <v>10.83</v>
      </c>
      <c r="I104">
        <v>485</v>
      </c>
      <c r="J104">
        <v>0</v>
      </c>
    </row>
    <row r="105" spans="1:10" ht="15" customHeight="1" x14ac:dyDescent="0.3">
      <c r="A105" s="18">
        <v>45851</v>
      </c>
      <c r="B105" t="s">
        <v>117</v>
      </c>
      <c r="C105" t="s">
        <v>118</v>
      </c>
      <c r="D105">
        <v>0</v>
      </c>
      <c r="E105">
        <v>35.299999999999997</v>
      </c>
      <c r="F105">
        <v>3939</v>
      </c>
      <c r="G105">
        <v>403</v>
      </c>
      <c r="H105">
        <v>2.84</v>
      </c>
      <c r="I105">
        <v>419</v>
      </c>
      <c r="J105">
        <v>0</v>
      </c>
    </row>
    <row r="106" spans="1:10" ht="15" customHeight="1" x14ac:dyDescent="0.3">
      <c r="A106" s="18">
        <v>45852</v>
      </c>
      <c r="B106" t="s">
        <v>119</v>
      </c>
      <c r="C106" t="s">
        <v>112</v>
      </c>
      <c r="D106">
        <v>1823</v>
      </c>
      <c r="E106">
        <v>34.9</v>
      </c>
      <c r="F106">
        <v>13593</v>
      </c>
      <c r="G106">
        <v>593</v>
      </c>
      <c r="H106">
        <v>9.7899999999999991</v>
      </c>
      <c r="I106">
        <v>421</v>
      </c>
      <c r="J106">
        <v>2</v>
      </c>
    </row>
    <row r="107" spans="1:10" ht="15" customHeight="1" x14ac:dyDescent="0.3">
      <c r="A107" s="18">
        <v>45853</v>
      </c>
      <c r="B107" t="s">
        <v>111</v>
      </c>
      <c r="C107" t="s">
        <v>112</v>
      </c>
      <c r="D107">
        <v>1711</v>
      </c>
      <c r="E107">
        <v>32.5</v>
      </c>
      <c r="F107">
        <v>12771</v>
      </c>
      <c r="G107">
        <v>582</v>
      </c>
      <c r="H107">
        <v>9.1999999999999993</v>
      </c>
      <c r="I107">
        <v>463</v>
      </c>
      <c r="J107">
        <v>2</v>
      </c>
    </row>
    <row r="108" spans="1:10" ht="15" customHeight="1" x14ac:dyDescent="0.3">
      <c r="A108" s="18">
        <v>45854</v>
      </c>
      <c r="B108" t="s">
        <v>113</v>
      </c>
      <c r="C108" t="s">
        <v>112</v>
      </c>
      <c r="D108">
        <v>1883</v>
      </c>
      <c r="E108">
        <v>32.9</v>
      </c>
      <c r="F108">
        <v>13536</v>
      </c>
      <c r="G108">
        <v>935</v>
      </c>
      <c r="H108">
        <v>9.75</v>
      </c>
      <c r="I108">
        <v>451</v>
      </c>
      <c r="J108">
        <v>1</v>
      </c>
    </row>
    <row r="109" spans="1:10" ht="15" customHeight="1" x14ac:dyDescent="0.3">
      <c r="A109" s="18">
        <v>45855</v>
      </c>
      <c r="B109" t="s">
        <v>114</v>
      </c>
      <c r="C109" t="s">
        <v>112</v>
      </c>
      <c r="D109">
        <v>1843</v>
      </c>
      <c r="E109">
        <v>33.299999999999997</v>
      </c>
      <c r="F109">
        <v>13279</v>
      </c>
      <c r="G109">
        <v>260</v>
      </c>
      <c r="H109">
        <v>9.56</v>
      </c>
      <c r="I109">
        <v>396</v>
      </c>
      <c r="J109">
        <v>1</v>
      </c>
    </row>
    <row r="110" spans="1:10" ht="15" customHeight="1" x14ac:dyDescent="0.3">
      <c r="A110" s="18">
        <v>45856</v>
      </c>
      <c r="B110" t="s">
        <v>115</v>
      </c>
      <c r="C110" t="s">
        <v>112</v>
      </c>
      <c r="D110">
        <v>1755</v>
      </c>
      <c r="E110">
        <v>33.299999999999997</v>
      </c>
      <c r="F110">
        <v>12682</v>
      </c>
      <c r="G110">
        <v>709</v>
      </c>
      <c r="H110">
        <v>9.1300000000000008</v>
      </c>
      <c r="I110">
        <v>462</v>
      </c>
      <c r="J110">
        <v>2</v>
      </c>
    </row>
    <row r="111" spans="1:10" ht="15" customHeight="1" x14ac:dyDescent="0.3">
      <c r="A111" s="18">
        <v>45857</v>
      </c>
      <c r="B111" t="s">
        <v>116</v>
      </c>
      <c r="C111" t="s">
        <v>112</v>
      </c>
      <c r="D111">
        <v>1671</v>
      </c>
      <c r="E111">
        <v>30</v>
      </c>
      <c r="F111">
        <v>11763</v>
      </c>
      <c r="G111">
        <v>216</v>
      </c>
      <c r="H111">
        <v>8.4700000000000006</v>
      </c>
      <c r="I111">
        <v>452</v>
      </c>
      <c r="J111">
        <v>2</v>
      </c>
    </row>
    <row r="112" spans="1:10" ht="15" customHeight="1" x14ac:dyDescent="0.3">
      <c r="A112" s="18">
        <v>45858</v>
      </c>
      <c r="B112" t="s">
        <v>117</v>
      </c>
      <c r="C112" t="s">
        <v>118</v>
      </c>
      <c r="D112">
        <v>0</v>
      </c>
      <c r="E112">
        <v>32.799999999999997</v>
      </c>
      <c r="F112">
        <v>3242</v>
      </c>
      <c r="G112">
        <v>1041</v>
      </c>
      <c r="H112">
        <v>2.33</v>
      </c>
      <c r="I112">
        <v>385</v>
      </c>
      <c r="J112">
        <v>0</v>
      </c>
    </row>
    <row r="113" spans="1:10" ht="15" customHeight="1" x14ac:dyDescent="0.3">
      <c r="A113" s="18">
        <v>45859</v>
      </c>
      <c r="B113" t="s">
        <v>119</v>
      </c>
      <c r="C113" t="s">
        <v>112</v>
      </c>
      <c r="D113">
        <v>2032</v>
      </c>
      <c r="E113">
        <v>31.7</v>
      </c>
      <c r="F113">
        <v>14251</v>
      </c>
      <c r="G113">
        <v>633</v>
      </c>
      <c r="H113">
        <v>10.26</v>
      </c>
      <c r="I113">
        <v>498</v>
      </c>
      <c r="J113">
        <v>2</v>
      </c>
    </row>
    <row r="114" spans="1:10" ht="15" customHeight="1" x14ac:dyDescent="0.3">
      <c r="A114" s="18">
        <v>45860</v>
      </c>
      <c r="B114" t="s">
        <v>111</v>
      </c>
      <c r="C114" t="s">
        <v>112</v>
      </c>
      <c r="D114">
        <v>1860</v>
      </c>
      <c r="E114">
        <v>31.2</v>
      </c>
      <c r="F114">
        <v>12668</v>
      </c>
      <c r="G114">
        <v>671</v>
      </c>
      <c r="H114">
        <v>9.1199999999999992</v>
      </c>
      <c r="I114">
        <v>499</v>
      </c>
      <c r="J114">
        <v>2</v>
      </c>
    </row>
    <row r="115" spans="1:10" ht="15" customHeight="1" x14ac:dyDescent="0.3">
      <c r="A115" s="18">
        <v>45861</v>
      </c>
      <c r="B115" t="s">
        <v>113</v>
      </c>
      <c r="C115" t="s">
        <v>112</v>
      </c>
      <c r="D115">
        <v>1864</v>
      </c>
      <c r="E115">
        <v>32.6</v>
      </c>
      <c r="F115">
        <v>13597</v>
      </c>
      <c r="G115">
        <v>593</v>
      </c>
      <c r="H115">
        <v>9.7899999999999991</v>
      </c>
      <c r="I115">
        <v>514</v>
      </c>
      <c r="J115">
        <v>2</v>
      </c>
    </row>
    <row r="116" spans="1:10" ht="15" customHeight="1" x14ac:dyDescent="0.3">
      <c r="A116" s="18">
        <v>45862</v>
      </c>
      <c r="B116" t="s">
        <v>114</v>
      </c>
      <c r="C116" t="s">
        <v>112</v>
      </c>
      <c r="D116">
        <v>1754</v>
      </c>
      <c r="E116">
        <v>33.9</v>
      </c>
      <c r="F116">
        <v>12926</v>
      </c>
      <c r="G116">
        <v>456</v>
      </c>
      <c r="H116">
        <v>9.31</v>
      </c>
      <c r="I116">
        <v>390</v>
      </c>
      <c r="J116">
        <v>0</v>
      </c>
    </row>
    <row r="117" spans="1:10" ht="15" customHeight="1" x14ac:dyDescent="0.3">
      <c r="A117" s="18">
        <v>45863</v>
      </c>
      <c r="B117" t="s">
        <v>115</v>
      </c>
      <c r="C117" t="s">
        <v>112</v>
      </c>
      <c r="D117">
        <v>1970</v>
      </c>
      <c r="E117">
        <v>32.299999999999997</v>
      </c>
      <c r="F117">
        <v>14439</v>
      </c>
      <c r="G117">
        <v>833</v>
      </c>
      <c r="H117">
        <v>10.4</v>
      </c>
      <c r="I117">
        <v>494</v>
      </c>
      <c r="J117">
        <v>2</v>
      </c>
    </row>
    <row r="118" spans="1:10" ht="15" customHeight="1" x14ac:dyDescent="0.3">
      <c r="A118" s="18">
        <v>45864</v>
      </c>
      <c r="B118" t="s">
        <v>116</v>
      </c>
      <c r="C118" t="s">
        <v>112</v>
      </c>
      <c r="D118">
        <v>1698</v>
      </c>
      <c r="E118">
        <v>30.9</v>
      </c>
      <c r="F118">
        <v>12343</v>
      </c>
      <c r="G118">
        <v>771</v>
      </c>
      <c r="H118">
        <v>8.89</v>
      </c>
      <c r="I118">
        <v>440</v>
      </c>
      <c r="J118">
        <v>1</v>
      </c>
    </row>
    <row r="119" spans="1:10" ht="15" customHeight="1" x14ac:dyDescent="0.3">
      <c r="A119" s="18">
        <v>45865</v>
      </c>
      <c r="B119" t="s">
        <v>117</v>
      </c>
      <c r="C119" t="s">
        <v>118</v>
      </c>
      <c r="D119">
        <v>0</v>
      </c>
      <c r="E119">
        <v>31.9</v>
      </c>
      <c r="F119">
        <v>3155</v>
      </c>
      <c r="G119">
        <v>810</v>
      </c>
      <c r="H119">
        <v>2.27</v>
      </c>
      <c r="I119">
        <v>394</v>
      </c>
      <c r="J119">
        <v>1</v>
      </c>
    </row>
    <row r="120" spans="1:10" ht="15" customHeight="1" x14ac:dyDescent="0.3">
      <c r="A120" s="18">
        <v>45866</v>
      </c>
      <c r="B120" t="s">
        <v>119</v>
      </c>
      <c r="C120" t="s">
        <v>112</v>
      </c>
      <c r="D120">
        <v>1742</v>
      </c>
      <c r="E120">
        <v>34.6</v>
      </c>
      <c r="F120">
        <v>12790</v>
      </c>
      <c r="G120">
        <v>423</v>
      </c>
      <c r="H120">
        <v>9.2100000000000009</v>
      </c>
      <c r="I120">
        <v>493</v>
      </c>
      <c r="J120">
        <v>0</v>
      </c>
    </row>
    <row r="121" spans="1:10" ht="15" customHeight="1" x14ac:dyDescent="0.3">
      <c r="A121" s="18">
        <v>45867</v>
      </c>
      <c r="B121" t="s">
        <v>111</v>
      </c>
      <c r="C121" t="s">
        <v>112</v>
      </c>
      <c r="D121">
        <v>1720</v>
      </c>
      <c r="E121">
        <v>32.299999999999997</v>
      </c>
      <c r="F121">
        <v>12225</v>
      </c>
      <c r="G121">
        <v>673</v>
      </c>
      <c r="H121">
        <v>8.8000000000000007</v>
      </c>
      <c r="I121">
        <v>401</v>
      </c>
      <c r="J121">
        <v>1</v>
      </c>
    </row>
    <row r="122" spans="1:10" ht="15" customHeight="1" x14ac:dyDescent="0.3">
      <c r="A122" s="18">
        <v>45868</v>
      </c>
      <c r="B122" t="s">
        <v>113</v>
      </c>
      <c r="C122" t="s">
        <v>112</v>
      </c>
      <c r="D122">
        <v>1888</v>
      </c>
      <c r="E122">
        <v>33.799999999999997</v>
      </c>
      <c r="F122">
        <v>13511</v>
      </c>
      <c r="G122">
        <v>683</v>
      </c>
      <c r="H122">
        <v>9.73</v>
      </c>
      <c r="I122">
        <v>502</v>
      </c>
      <c r="J122">
        <v>2</v>
      </c>
    </row>
    <row r="123" spans="1:10" ht="15" customHeight="1" x14ac:dyDescent="0.3">
      <c r="A123" s="18">
        <v>45869</v>
      </c>
      <c r="B123" t="s">
        <v>114</v>
      </c>
      <c r="C123" t="s">
        <v>112</v>
      </c>
      <c r="D123">
        <v>1668</v>
      </c>
      <c r="E123">
        <v>35.200000000000003</v>
      </c>
      <c r="F123">
        <v>13188</v>
      </c>
      <c r="G123">
        <v>744</v>
      </c>
      <c r="H123">
        <v>9.5</v>
      </c>
      <c r="I123">
        <v>422</v>
      </c>
      <c r="J123">
        <v>2</v>
      </c>
    </row>
    <row r="124" spans="1:10" ht="15" customHeight="1" x14ac:dyDescent="0.3">
      <c r="A124" s="18">
        <v>45870</v>
      </c>
      <c r="B124" t="s">
        <v>115</v>
      </c>
      <c r="C124" t="s">
        <v>112</v>
      </c>
      <c r="D124">
        <v>1637</v>
      </c>
      <c r="E124">
        <v>31.4</v>
      </c>
      <c r="F124">
        <v>11986</v>
      </c>
      <c r="G124">
        <v>883</v>
      </c>
      <c r="H124">
        <v>8.6300000000000008</v>
      </c>
      <c r="I124">
        <v>506</v>
      </c>
      <c r="J124">
        <v>0</v>
      </c>
    </row>
    <row r="125" spans="1:10" ht="15" customHeight="1" x14ac:dyDescent="0.3">
      <c r="A125" s="18">
        <v>45871</v>
      </c>
      <c r="B125" t="s">
        <v>116</v>
      </c>
      <c r="C125" t="s">
        <v>112</v>
      </c>
      <c r="D125">
        <v>2127</v>
      </c>
      <c r="E125">
        <v>33.799999999999997</v>
      </c>
      <c r="F125">
        <v>14911</v>
      </c>
      <c r="G125">
        <v>796</v>
      </c>
      <c r="H125">
        <v>10.74</v>
      </c>
      <c r="I125">
        <v>431</v>
      </c>
      <c r="J125">
        <v>1</v>
      </c>
    </row>
    <row r="126" spans="1:10" ht="15" customHeight="1" x14ac:dyDescent="0.3">
      <c r="A126" s="18">
        <v>45872</v>
      </c>
      <c r="B126" t="s">
        <v>117</v>
      </c>
      <c r="C126" t="s">
        <v>118</v>
      </c>
      <c r="D126">
        <v>0</v>
      </c>
      <c r="E126">
        <v>31.1</v>
      </c>
      <c r="F126">
        <v>3313</v>
      </c>
      <c r="G126">
        <v>486</v>
      </c>
      <c r="H126">
        <v>2.39</v>
      </c>
      <c r="I126">
        <v>479</v>
      </c>
      <c r="J126">
        <v>2</v>
      </c>
    </row>
    <row r="127" spans="1:10" ht="15" customHeight="1" x14ac:dyDescent="0.3">
      <c r="A127" s="18">
        <v>45873</v>
      </c>
      <c r="B127" t="s">
        <v>119</v>
      </c>
      <c r="C127" t="s">
        <v>112</v>
      </c>
      <c r="D127">
        <v>2001</v>
      </c>
      <c r="E127">
        <v>33.4</v>
      </c>
      <c r="F127">
        <v>14089</v>
      </c>
      <c r="G127">
        <v>1032</v>
      </c>
      <c r="H127">
        <v>10.14</v>
      </c>
      <c r="I127">
        <v>414</v>
      </c>
      <c r="J127">
        <v>0</v>
      </c>
    </row>
    <row r="128" spans="1:10" ht="15" customHeight="1" x14ac:dyDescent="0.3">
      <c r="A128" s="18">
        <v>45874</v>
      </c>
      <c r="B128" t="s">
        <v>111</v>
      </c>
      <c r="C128" t="s">
        <v>112</v>
      </c>
      <c r="D128">
        <v>1797</v>
      </c>
      <c r="E128">
        <v>33.9</v>
      </c>
      <c r="F128">
        <v>13439</v>
      </c>
      <c r="G128">
        <v>624</v>
      </c>
      <c r="H128">
        <v>9.68</v>
      </c>
      <c r="I128">
        <v>400</v>
      </c>
      <c r="J128">
        <v>1</v>
      </c>
    </row>
    <row r="129" spans="1:10" ht="15" customHeight="1" x14ac:dyDescent="0.3">
      <c r="A129" s="18">
        <v>45875</v>
      </c>
      <c r="B129" t="s">
        <v>113</v>
      </c>
      <c r="C129" t="s">
        <v>112</v>
      </c>
      <c r="D129">
        <v>1829</v>
      </c>
      <c r="E129">
        <v>31.9</v>
      </c>
      <c r="F129">
        <v>13597</v>
      </c>
      <c r="G129">
        <v>475</v>
      </c>
      <c r="H129">
        <v>9.7899999999999991</v>
      </c>
      <c r="I129">
        <v>459</v>
      </c>
      <c r="J129">
        <v>1</v>
      </c>
    </row>
    <row r="130" spans="1:10" ht="15" customHeight="1" x14ac:dyDescent="0.3">
      <c r="A130" s="18">
        <v>45876</v>
      </c>
      <c r="B130" t="s">
        <v>114</v>
      </c>
      <c r="C130" t="s">
        <v>112</v>
      </c>
      <c r="D130">
        <v>1673</v>
      </c>
      <c r="E130">
        <v>32.200000000000003</v>
      </c>
      <c r="F130">
        <v>12802</v>
      </c>
      <c r="G130">
        <v>442</v>
      </c>
      <c r="H130">
        <v>9.2200000000000006</v>
      </c>
      <c r="I130">
        <v>437</v>
      </c>
      <c r="J130">
        <v>1</v>
      </c>
    </row>
    <row r="131" spans="1:10" ht="15" customHeight="1" x14ac:dyDescent="0.3">
      <c r="A131" s="18">
        <v>45877</v>
      </c>
      <c r="B131" t="s">
        <v>115</v>
      </c>
      <c r="C131" t="s">
        <v>112</v>
      </c>
      <c r="D131">
        <v>1862</v>
      </c>
      <c r="E131">
        <v>32.4</v>
      </c>
      <c r="F131">
        <v>13248</v>
      </c>
      <c r="G131">
        <v>459</v>
      </c>
      <c r="H131">
        <v>9.5399999999999991</v>
      </c>
      <c r="I131">
        <v>456</v>
      </c>
      <c r="J131">
        <v>0</v>
      </c>
    </row>
    <row r="132" spans="1:10" ht="15" customHeight="1" x14ac:dyDescent="0.3">
      <c r="A132" s="18">
        <v>45878</v>
      </c>
      <c r="B132" t="s">
        <v>116</v>
      </c>
      <c r="C132" t="s">
        <v>112</v>
      </c>
      <c r="D132">
        <v>1705</v>
      </c>
      <c r="E132">
        <v>31.1</v>
      </c>
      <c r="F132">
        <v>12226</v>
      </c>
      <c r="G132">
        <v>1288</v>
      </c>
      <c r="H132">
        <v>8.8000000000000007</v>
      </c>
      <c r="I132">
        <v>399</v>
      </c>
      <c r="J132">
        <v>1</v>
      </c>
    </row>
    <row r="133" spans="1:10" ht="15" customHeight="1" x14ac:dyDescent="0.3">
      <c r="A133" s="18">
        <v>45879</v>
      </c>
      <c r="B133" t="s">
        <v>117</v>
      </c>
      <c r="C133" t="s">
        <v>118</v>
      </c>
      <c r="D133">
        <v>0</v>
      </c>
      <c r="E133">
        <v>34.1</v>
      </c>
      <c r="F133">
        <v>4089</v>
      </c>
      <c r="G133">
        <v>226</v>
      </c>
      <c r="H133">
        <v>2.94</v>
      </c>
      <c r="I133">
        <v>415</v>
      </c>
      <c r="J133">
        <v>0</v>
      </c>
    </row>
    <row r="134" spans="1:10" ht="15" customHeight="1" x14ac:dyDescent="0.3">
      <c r="A134" s="18">
        <v>45880</v>
      </c>
      <c r="B134" t="s">
        <v>119</v>
      </c>
      <c r="C134" t="s">
        <v>112</v>
      </c>
      <c r="D134">
        <v>1843</v>
      </c>
      <c r="E134">
        <v>33.1</v>
      </c>
      <c r="F134">
        <v>13156</v>
      </c>
      <c r="G134">
        <v>887</v>
      </c>
      <c r="H134">
        <v>9.4700000000000006</v>
      </c>
      <c r="I134">
        <v>413</v>
      </c>
      <c r="J134">
        <v>2</v>
      </c>
    </row>
    <row r="135" spans="1:10" ht="15" customHeight="1" x14ac:dyDescent="0.3">
      <c r="A135" s="18">
        <v>45881</v>
      </c>
      <c r="B135" t="s">
        <v>111</v>
      </c>
      <c r="C135" t="s">
        <v>112</v>
      </c>
      <c r="D135">
        <v>1744</v>
      </c>
      <c r="E135">
        <v>32.9</v>
      </c>
      <c r="F135">
        <v>13037</v>
      </c>
      <c r="G135">
        <v>984</v>
      </c>
      <c r="H135">
        <v>9.39</v>
      </c>
      <c r="I135">
        <v>420</v>
      </c>
      <c r="J135">
        <v>0</v>
      </c>
    </row>
    <row r="136" spans="1:10" ht="15" customHeight="1" x14ac:dyDescent="0.3">
      <c r="A136" s="18">
        <v>45882</v>
      </c>
      <c r="B136" t="s">
        <v>113</v>
      </c>
      <c r="C136" t="s">
        <v>112</v>
      </c>
      <c r="D136">
        <v>1797</v>
      </c>
      <c r="E136">
        <v>31.9</v>
      </c>
      <c r="F136">
        <v>12830</v>
      </c>
      <c r="G136">
        <v>807</v>
      </c>
      <c r="H136">
        <v>9.24</v>
      </c>
      <c r="I136">
        <v>412</v>
      </c>
      <c r="J136">
        <v>0</v>
      </c>
    </row>
    <row r="137" spans="1:10" ht="15" customHeight="1" x14ac:dyDescent="0.3">
      <c r="A137" s="18">
        <v>45883</v>
      </c>
      <c r="B137" t="s">
        <v>114</v>
      </c>
      <c r="C137" t="s">
        <v>112</v>
      </c>
      <c r="D137">
        <v>1864</v>
      </c>
      <c r="E137">
        <v>33.700000000000003</v>
      </c>
      <c r="F137">
        <v>13224</v>
      </c>
      <c r="G137">
        <v>819</v>
      </c>
      <c r="H137">
        <v>9.52</v>
      </c>
      <c r="I137">
        <v>481</v>
      </c>
      <c r="J137">
        <v>0</v>
      </c>
    </row>
    <row r="138" spans="1:10" ht="15" customHeight="1" x14ac:dyDescent="0.3">
      <c r="A138" s="18">
        <v>45884</v>
      </c>
      <c r="B138" t="s">
        <v>115</v>
      </c>
      <c r="C138" t="s">
        <v>112</v>
      </c>
      <c r="D138">
        <v>2018</v>
      </c>
      <c r="E138">
        <v>29.2</v>
      </c>
      <c r="F138">
        <v>13407</v>
      </c>
      <c r="G138">
        <v>829</v>
      </c>
      <c r="H138">
        <v>9.65</v>
      </c>
      <c r="I138">
        <v>399</v>
      </c>
      <c r="J138">
        <v>1</v>
      </c>
    </row>
    <row r="139" spans="1:10" ht="15" customHeight="1" x14ac:dyDescent="0.3">
      <c r="A139" s="18">
        <v>45885</v>
      </c>
      <c r="B139" t="s">
        <v>116</v>
      </c>
      <c r="C139" t="s">
        <v>112</v>
      </c>
      <c r="D139">
        <v>2074</v>
      </c>
      <c r="E139">
        <v>32.200000000000003</v>
      </c>
      <c r="F139">
        <v>14492</v>
      </c>
      <c r="G139">
        <v>1100</v>
      </c>
      <c r="H139">
        <v>10.43</v>
      </c>
      <c r="I139">
        <v>450</v>
      </c>
      <c r="J139">
        <v>0</v>
      </c>
    </row>
    <row r="140" spans="1:10" ht="15" customHeight="1" x14ac:dyDescent="0.3">
      <c r="A140" s="18">
        <v>45886</v>
      </c>
      <c r="B140" t="s">
        <v>117</v>
      </c>
      <c r="C140" t="s">
        <v>118</v>
      </c>
      <c r="D140">
        <v>0</v>
      </c>
      <c r="E140">
        <v>31.5</v>
      </c>
      <c r="F140">
        <v>3636</v>
      </c>
      <c r="G140">
        <v>857</v>
      </c>
      <c r="H140">
        <v>2.62</v>
      </c>
      <c r="I140">
        <v>426</v>
      </c>
      <c r="J140">
        <v>1</v>
      </c>
    </row>
    <row r="141" spans="1:10" ht="15" customHeight="1" x14ac:dyDescent="0.3">
      <c r="A141" s="18">
        <v>45887</v>
      </c>
      <c r="B141" t="s">
        <v>119</v>
      </c>
      <c r="C141" t="s">
        <v>112</v>
      </c>
      <c r="D141">
        <v>1715</v>
      </c>
      <c r="E141">
        <v>32.299999999999997</v>
      </c>
      <c r="F141">
        <v>12178</v>
      </c>
      <c r="G141">
        <v>234</v>
      </c>
      <c r="H141">
        <v>8.77</v>
      </c>
      <c r="I141">
        <v>511</v>
      </c>
      <c r="J141">
        <v>1</v>
      </c>
    </row>
    <row r="142" spans="1:10" ht="15" customHeight="1" x14ac:dyDescent="0.3">
      <c r="A142" s="18">
        <v>45888</v>
      </c>
      <c r="B142" t="s">
        <v>111</v>
      </c>
      <c r="C142" t="s">
        <v>112</v>
      </c>
      <c r="D142">
        <v>1686</v>
      </c>
      <c r="E142">
        <v>31.4</v>
      </c>
      <c r="F142">
        <v>11659</v>
      </c>
      <c r="G142">
        <v>739</v>
      </c>
      <c r="H142">
        <v>8.39</v>
      </c>
      <c r="I142">
        <v>436</v>
      </c>
      <c r="J142">
        <v>2</v>
      </c>
    </row>
    <row r="143" spans="1:10" ht="15" customHeight="1" x14ac:dyDescent="0.3">
      <c r="A143" s="18">
        <v>45889</v>
      </c>
      <c r="B143" t="s">
        <v>113</v>
      </c>
      <c r="C143" t="s">
        <v>112</v>
      </c>
      <c r="D143">
        <v>1911</v>
      </c>
      <c r="E143">
        <v>33.200000000000003</v>
      </c>
      <c r="F143">
        <v>13523</v>
      </c>
      <c r="G143">
        <v>821</v>
      </c>
      <c r="H143">
        <v>9.74</v>
      </c>
      <c r="I143">
        <v>470</v>
      </c>
      <c r="J143">
        <v>1</v>
      </c>
    </row>
    <row r="144" spans="1:10" ht="15" customHeight="1" x14ac:dyDescent="0.3">
      <c r="A144" s="18">
        <v>45890</v>
      </c>
      <c r="B144" t="s">
        <v>114</v>
      </c>
      <c r="C144" t="s">
        <v>112</v>
      </c>
      <c r="D144">
        <v>1805</v>
      </c>
      <c r="E144">
        <v>33.4</v>
      </c>
      <c r="F144">
        <v>13156</v>
      </c>
      <c r="G144">
        <v>1073</v>
      </c>
      <c r="H144">
        <v>9.4700000000000006</v>
      </c>
      <c r="I144">
        <v>479</v>
      </c>
      <c r="J144">
        <v>0</v>
      </c>
    </row>
    <row r="145" spans="1:10" ht="15" customHeight="1" x14ac:dyDescent="0.3">
      <c r="A145" s="18">
        <v>45891</v>
      </c>
      <c r="B145" t="s">
        <v>115</v>
      </c>
      <c r="C145" t="s">
        <v>112</v>
      </c>
      <c r="D145">
        <v>1659</v>
      </c>
      <c r="E145">
        <v>31.3</v>
      </c>
      <c r="F145">
        <v>12261</v>
      </c>
      <c r="G145">
        <v>600</v>
      </c>
      <c r="H145">
        <v>8.83</v>
      </c>
      <c r="I145">
        <v>472</v>
      </c>
      <c r="J145">
        <v>2</v>
      </c>
    </row>
    <row r="146" spans="1:10" ht="15" customHeight="1" x14ac:dyDescent="0.3">
      <c r="A146" s="18">
        <v>45892</v>
      </c>
      <c r="B146" t="s">
        <v>116</v>
      </c>
      <c r="C146" t="s">
        <v>112</v>
      </c>
      <c r="D146">
        <v>2190</v>
      </c>
      <c r="E146">
        <v>34.299999999999997</v>
      </c>
      <c r="F146">
        <v>15399</v>
      </c>
      <c r="G146">
        <v>957</v>
      </c>
      <c r="H146">
        <v>11.09</v>
      </c>
      <c r="I146">
        <v>462</v>
      </c>
      <c r="J146">
        <v>0</v>
      </c>
    </row>
    <row r="147" spans="1:10" ht="15" customHeight="1" x14ac:dyDescent="0.3">
      <c r="A147" s="18">
        <v>45893</v>
      </c>
      <c r="B147" t="s">
        <v>117</v>
      </c>
      <c r="C147" t="s">
        <v>118</v>
      </c>
      <c r="D147">
        <v>0</v>
      </c>
      <c r="E147">
        <v>33.4</v>
      </c>
      <c r="F147">
        <v>3752</v>
      </c>
      <c r="G147">
        <v>437</v>
      </c>
      <c r="H147">
        <v>2.7</v>
      </c>
      <c r="I147">
        <v>400</v>
      </c>
      <c r="J147">
        <v>2</v>
      </c>
    </row>
    <row r="148" spans="1:10" ht="15" customHeight="1" x14ac:dyDescent="0.3">
      <c r="A148" s="18">
        <v>45894</v>
      </c>
      <c r="B148" t="s">
        <v>119</v>
      </c>
      <c r="C148" t="s">
        <v>112</v>
      </c>
      <c r="D148">
        <v>2018</v>
      </c>
      <c r="E148">
        <v>33</v>
      </c>
      <c r="F148">
        <v>13806</v>
      </c>
      <c r="G148">
        <v>1075</v>
      </c>
      <c r="H148">
        <v>9.94</v>
      </c>
      <c r="I148">
        <v>488</v>
      </c>
      <c r="J148">
        <v>1</v>
      </c>
    </row>
    <row r="149" spans="1:10" ht="15" customHeight="1" x14ac:dyDescent="0.3">
      <c r="A149" s="18">
        <v>45895</v>
      </c>
      <c r="B149" t="s">
        <v>111</v>
      </c>
      <c r="C149" t="s">
        <v>112</v>
      </c>
      <c r="D149">
        <v>1675</v>
      </c>
      <c r="E149">
        <v>28.4</v>
      </c>
      <c r="F149">
        <v>11704</v>
      </c>
      <c r="G149">
        <v>741</v>
      </c>
      <c r="H149">
        <v>8.43</v>
      </c>
      <c r="I149">
        <v>466</v>
      </c>
      <c r="J149">
        <v>0</v>
      </c>
    </row>
    <row r="150" spans="1:10" ht="15" customHeight="1" x14ac:dyDescent="0.3">
      <c r="A150" s="18">
        <v>45896</v>
      </c>
      <c r="B150" t="s">
        <v>113</v>
      </c>
      <c r="C150" t="s">
        <v>112</v>
      </c>
      <c r="D150">
        <v>1642</v>
      </c>
      <c r="E150">
        <v>32.200000000000003</v>
      </c>
      <c r="F150">
        <v>11856</v>
      </c>
      <c r="G150">
        <v>644</v>
      </c>
      <c r="H150">
        <v>8.5399999999999991</v>
      </c>
      <c r="I150">
        <v>413</v>
      </c>
      <c r="J150">
        <v>0</v>
      </c>
    </row>
    <row r="151" spans="1:10" ht="15" customHeight="1" x14ac:dyDescent="0.3">
      <c r="A151" s="18">
        <v>45897</v>
      </c>
      <c r="B151" t="s">
        <v>114</v>
      </c>
      <c r="C151" t="s">
        <v>112</v>
      </c>
      <c r="D151">
        <v>1842</v>
      </c>
      <c r="E151">
        <v>32.200000000000003</v>
      </c>
      <c r="F151">
        <v>13161</v>
      </c>
      <c r="G151">
        <v>659</v>
      </c>
      <c r="H151">
        <v>9.48</v>
      </c>
      <c r="I151">
        <v>391</v>
      </c>
      <c r="J151">
        <v>0</v>
      </c>
    </row>
    <row r="152" spans="1:10" ht="15" customHeight="1" x14ac:dyDescent="0.3">
      <c r="A152" s="18">
        <v>45898</v>
      </c>
      <c r="B152" t="s">
        <v>115</v>
      </c>
      <c r="C152" t="s">
        <v>112</v>
      </c>
      <c r="D152">
        <v>1888</v>
      </c>
      <c r="E152">
        <v>30.7</v>
      </c>
      <c r="F152">
        <v>12813</v>
      </c>
      <c r="G152">
        <v>478</v>
      </c>
      <c r="H152">
        <v>9.23</v>
      </c>
      <c r="I152">
        <v>429</v>
      </c>
      <c r="J152">
        <v>1</v>
      </c>
    </row>
    <row r="153" spans="1:10" ht="15" customHeight="1" x14ac:dyDescent="0.3">
      <c r="A153" s="18">
        <v>45899</v>
      </c>
      <c r="B153" t="s">
        <v>116</v>
      </c>
      <c r="C153" t="s">
        <v>112</v>
      </c>
      <c r="D153">
        <v>1566</v>
      </c>
      <c r="E153">
        <v>31.3</v>
      </c>
      <c r="F153">
        <v>12139</v>
      </c>
      <c r="G153">
        <v>838</v>
      </c>
      <c r="H153">
        <v>8.74</v>
      </c>
      <c r="I153">
        <v>463</v>
      </c>
      <c r="J153">
        <v>1</v>
      </c>
    </row>
    <row r="154" spans="1:10" ht="15" customHeight="1" x14ac:dyDescent="0.3">
      <c r="A154" s="18">
        <v>45900</v>
      </c>
      <c r="B154" t="s">
        <v>117</v>
      </c>
      <c r="C154" t="s">
        <v>118</v>
      </c>
      <c r="D154">
        <v>0</v>
      </c>
      <c r="E154">
        <v>33.4</v>
      </c>
      <c r="F154">
        <v>3641</v>
      </c>
      <c r="G154">
        <v>573</v>
      </c>
      <c r="H154">
        <v>2.62</v>
      </c>
      <c r="I154">
        <v>465</v>
      </c>
      <c r="J154">
        <v>2</v>
      </c>
    </row>
    <row r="155" spans="1:10" ht="15" customHeight="1" x14ac:dyDescent="0.3">
      <c r="A155" s="18">
        <v>45901</v>
      </c>
      <c r="B155" t="s">
        <v>119</v>
      </c>
      <c r="C155" t="s">
        <v>112</v>
      </c>
      <c r="D155">
        <v>1981</v>
      </c>
      <c r="E155">
        <v>34.4</v>
      </c>
      <c r="F155">
        <v>14670</v>
      </c>
      <c r="G155">
        <v>757</v>
      </c>
      <c r="H155">
        <v>10.56</v>
      </c>
      <c r="I155">
        <v>427</v>
      </c>
      <c r="J155">
        <v>0</v>
      </c>
    </row>
    <row r="156" spans="1:10" ht="15" customHeight="1" x14ac:dyDescent="0.3">
      <c r="A156" s="18">
        <v>45902</v>
      </c>
      <c r="B156" t="s">
        <v>111</v>
      </c>
      <c r="C156" t="s">
        <v>112</v>
      </c>
      <c r="D156">
        <v>1714</v>
      </c>
      <c r="E156">
        <v>32</v>
      </c>
      <c r="F156">
        <v>12916</v>
      </c>
      <c r="G156">
        <v>616</v>
      </c>
      <c r="H156">
        <v>9.3000000000000007</v>
      </c>
      <c r="I156">
        <v>390</v>
      </c>
      <c r="J156">
        <v>0</v>
      </c>
    </row>
    <row r="157" spans="1:10" ht="15" customHeight="1" x14ac:dyDescent="0.3">
      <c r="A157" s="18">
        <v>45903</v>
      </c>
      <c r="B157" t="s">
        <v>113</v>
      </c>
      <c r="C157" t="s">
        <v>112</v>
      </c>
      <c r="D157">
        <v>1714</v>
      </c>
      <c r="E157">
        <v>28.5</v>
      </c>
      <c r="F157">
        <v>11488</v>
      </c>
      <c r="G157">
        <v>336</v>
      </c>
      <c r="H157">
        <v>8.27</v>
      </c>
      <c r="I157">
        <v>464</v>
      </c>
      <c r="J157">
        <v>1</v>
      </c>
    </row>
    <row r="158" spans="1:10" ht="15" customHeight="1" x14ac:dyDescent="0.3">
      <c r="A158" s="18">
        <v>45904</v>
      </c>
      <c r="B158" t="s">
        <v>114</v>
      </c>
      <c r="C158" t="s">
        <v>112</v>
      </c>
      <c r="D158">
        <v>2032</v>
      </c>
      <c r="E158">
        <v>31.7</v>
      </c>
      <c r="F158">
        <v>14608</v>
      </c>
      <c r="G158">
        <v>903</v>
      </c>
      <c r="H158">
        <v>10.52</v>
      </c>
      <c r="I158">
        <v>418</v>
      </c>
      <c r="J158">
        <v>0</v>
      </c>
    </row>
    <row r="159" spans="1:10" ht="15" customHeight="1" x14ac:dyDescent="0.3">
      <c r="A159" s="18">
        <v>45905</v>
      </c>
      <c r="B159" t="s">
        <v>115</v>
      </c>
      <c r="C159" t="s">
        <v>112</v>
      </c>
      <c r="D159">
        <v>1685</v>
      </c>
      <c r="E159">
        <v>34</v>
      </c>
      <c r="F159">
        <v>12649</v>
      </c>
      <c r="G159">
        <v>776</v>
      </c>
      <c r="H159">
        <v>9.11</v>
      </c>
      <c r="I159">
        <v>445</v>
      </c>
      <c r="J159">
        <v>1</v>
      </c>
    </row>
    <row r="160" spans="1:10" ht="15" customHeight="1" x14ac:dyDescent="0.3">
      <c r="A160" s="18">
        <v>45906</v>
      </c>
      <c r="B160" t="s">
        <v>116</v>
      </c>
      <c r="C160" t="s">
        <v>112</v>
      </c>
      <c r="D160">
        <v>1841</v>
      </c>
      <c r="E160">
        <v>34.200000000000003</v>
      </c>
      <c r="F160">
        <v>13559</v>
      </c>
      <c r="G160">
        <v>698</v>
      </c>
      <c r="H160">
        <v>9.76</v>
      </c>
      <c r="I160">
        <v>517</v>
      </c>
      <c r="J160">
        <v>2</v>
      </c>
    </row>
    <row r="161" spans="1:10" ht="15" customHeight="1" x14ac:dyDescent="0.3">
      <c r="A161" s="18">
        <v>45907</v>
      </c>
      <c r="B161" t="s">
        <v>117</v>
      </c>
      <c r="C161" t="s">
        <v>118</v>
      </c>
      <c r="D161">
        <v>0</v>
      </c>
      <c r="E161">
        <v>30.7</v>
      </c>
      <c r="F161">
        <v>3655</v>
      </c>
      <c r="G161">
        <v>937</v>
      </c>
      <c r="H161">
        <v>2.63</v>
      </c>
      <c r="I161">
        <v>490</v>
      </c>
      <c r="J161">
        <v>1</v>
      </c>
    </row>
    <row r="162" spans="1:10" ht="15" customHeight="1" x14ac:dyDescent="0.3">
      <c r="A162" s="18">
        <v>45908</v>
      </c>
      <c r="B162" t="s">
        <v>119</v>
      </c>
      <c r="C162" t="s">
        <v>112</v>
      </c>
      <c r="D162">
        <v>1861</v>
      </c>
      <c r="E162">
        <v>32.1</v>
      </c>
      <c r="F162">
        <v>13132</v>
      </c>
      <c r="G162">
        <v>253</v>
      </c>
      <c r="H162">
        <v>9.4499999999999993</v>
      </c>
      <c r="I162">
        <v>433</v>
      </c>
      <c r="J162">
        <v>1</v>
      </c>
    </row>
    <row r="163" spans="1:10" ht="15" customHeight="1" x14ac:dyDescent="0.3">
      <c r="A163" s="18">
        <v>45909</v>
      </c>
      <c r="B163" t="s">
        <v>111</v>
      </c>
      <c r="C163" t="s">
        <v>112</v>
      </c>
      <c r="D163">
        <v>1944</v>
      </c>
      <c r="E163">
        <v>30.5</v>
      </c>
      <c r="F163">
        <v>12883</v>
      </c>
      <c r="G163">
        <v>662</v>
      </c>
      <c r="H163">
        <v>9.2799999999999994</v>
      </c>
      <c r="I163">
        <v>519</v>
      </c>
      <c r="J163">
        <v>0</v>
      </c>
    </row>
    <row r="164" spans="1:10" ht="15" customHeight="1" x14ac:dyDescent="0.3">
      <c r="A164" s="18">
        <v>45910</v>
      </c>
      <c r="B164" t="s">
        <v>113</v>
      </c>
      <c r="C164" t="s">
        <v>112</v>
      </c>
      <c r="D164">
        <v>1862</v>
      </c>
      <c r="E164">
        <v>30.8</v>
      </c>
      <c r="F164">
        <v>13156</v>
      </c>
      <c r="G164">
        <v>715</v>
      </c>
      <c r="H164">
        <v>9.4700000000000006</v>
      </c>
      <c r="I164">
        <v>508</v>
      </c>
      <c r="J164">
        <v>2</v>
      </c>
    </row>
    <row r="165" spans="1:10" ht="15" customHeight="1" x14ac:dyDescent="0.3">
      <c r="A165" s="18">
        <v>45911</v>
      </c>
      <c r="B165" t="s">
        <v>114</v>
      </c>
      <c r="C165" t="s">
        <v>112</v>
      </c>
      <c r="D165">
        <v>1801</v>
      </c>
      <c r="E165">
        <v>31.4</v>
      </c>
      <c r="F165">
        <v>13049</v>
      </c>
      <c r="G165">
        <v>805</v>
      </c>
      <c r="H165">
        <v>9.4</v>
      </c>
      <c r="I165">
        <v>461</v>
      </c>
      <c r="J165">
        <v>2</v>
      </c>
    </row>
    <row r="166" spans="1:10" ht="15" customHeight="1" x14ac:dyDescent="0.3">
      <c r="A166" s="18">
        <v>45912</v>
      </c>
      <c r="B166" t="s">
        <v>115</v>
      </c>
      <c r="C166" t="s">
        <v>112</v>
      </c>
      <c r="D166">
        <v>1918</v>
      </c>
      <c r="E166">
        <v>30</v>
      </c>
      <c r="F166">
        <v>13355</v>
      </c>
      <c r="G166">
        <v>576</v>
      </c>
      <c r="H166">
        <v>9.6199999999999992</v>
      </c>
      <c r="I166">
        <v>451</v>
      </c>
      <c r="J166">
        <v>1</v>
      </c>
    </row>
    <row r="167" spans="1:10" ht="15" customHeight="1" x14ac:dyDescent="0.3">
      <c r="A167" s="18">
        <v>45913</v>
      </c>
      <c r="B167" t="s">
        <v>116</v>
      </c>
      <c r="C167" t="s">
        <v>112</v>
      </c>
      <c r="D167">
        <v>1742</v>
      </c>
      <c r="E167">
        <v>29.7</v>
      </c>
      <c r="F167">
        <v>12016</v>
      </c>
      <c r="G167">
        <v>811</v>
      </c>
      <c r="H167">
        <v>8.65</v>
      </c>
      <c r="I167">
        <v>499</v>
      </c>
      <c r="J167">
        <v>0</v>
      </c>
    </row>
    <row r="168" spans="1:10" ht="15" customHeight="1" x14ac:dyDescent="0.3">
      <c r="A168" s="18">
        <v>45914</v>
      </c>
      <c r="B168" t="s">
        <v>117</v>
      </c>
      <c r="C168" t="s">
        <v>118</v>
      </c>
      <c r="D168">
        <v>0</v>
      </c>
      <c r="E168">
        <v>31.4</v>
      </c>
      <c r="F168">
        <v>3219</v>
      </c>
      <c r="G168">
        <v>905</v>
      </c>
      <c r="H168">
        <v>2.3199999999999998</v>
      </c>
      <c r="I168">
        <v>435</v>
      </c>
      <c r="J168">
        <v>0</v>
      </c>
    </row>
    <row r="169" spans="1:10" ht="15" customHeight="1" x14ac:dyDescent="0.3">
      <c r="A169" s="18">
        <v>45915</v>
      </c>
      <c r="B169" t="s">
        <v>119</v>
      </c>
      <c r="C169" t="s">
        <v>112</v>
      </c>
      <c r="D169">
        <v>1803</v>
      </c>
      <c r="E169">
        <v>30.5</v>
      </c>
      <c r="F169">
        <v>12922</v>
      </c>
      <c r="G169">
        <v>827</v>
      </c>
      <c r="H169">
        <v>9.3000000000000007</v>
      </c>
      <c r="I169">
        <v>498</v>
      </c>
      <c r="J169">
        <v>2</v>
      </c>
    </row>
    <row r="170" spans="1:10" ht="15" customHeight="1" x14ac:dyDescent="0.3">
      <c r="A170" s="18">
        <v>45916</v>
      </c>
      <c r="B170" t="s">
        <v>111</v>
      </c>
      <c r="C170" t="s">
        <v>112</v>
      </c>
      <c r="D170">
        <v>1755</v>
      </c>
      <c r="E170">
        <v>28.5</v>
      </c>
      <c r="F170">
        <v>11754</v>
      </c>
      <c r="G170">
        <v>580</v>
      </c>
      <c r="H170">
        <v>8.4600000000000009</v>
      </c>
      <c r="I170">
        <v>401</v>
      </c>
      <c r="J170">
        <v>0</v>
      </c>
    </row>
    <row r="171" spans="1:10" ht="15" customHeight="1" x14ac:dyDescent="0.3">
      <c r="A171" s="18">
        <v>45917</v>
      </c>
      <c r="B171" t="s">
        <v>113</v>
      </c>
      <c r="C171" t="s">
        <v>112</v>
      </c>
      <c r="D171">
        <v>1998</v>
      </c>
      <c r="E171">
        <v>28.8</v>
      </c>
      <c r="F171">
        <v>13856</v>
      </c>
      <c r="G171">
        <v>514</v>
      </c>
      <c r="H171">
        <v>9.98</v>
      </c>
      <c r="I171">
        <v>442</v>
      </c>
      <c r="J171">
        <v>1</v>
      </c>
    </row>
    <row r="172" spans="1:10" ht="15" customHeight="1" x14ac:dyDescent="0.3">
      <c r="A172" s="18">
        <v>45918</v>
      </c>
      <c r="B172" t="s">
        <v>114</v>
      </c>
      <c r="C172" t="s">
        <v>112</v>
      </c>
      <c r="D172">
        <v>1504</v>
      </c>
      <c r="E172">
        <v>28.3</v>
      </c>
      <c r="F172">
        <v>10821</v>
      </c>
      <c r="G172">
        <v>559</v>
      </c>
      <c r="H172">
        <v>7.79</v>
      </c>
      <c r="I172">
        <v>510</v>
      </c>
      <c r="J172">
        <v>2</v>
      </c>
    </row>
    <row r="173" spans="1:10" ht="15" customHeight="1" x14ac:dyDescent="0.3">
      <c r="A173" s="18">
        <v>45919</v>
      </c>
      <c r="B173" t="s">
        <v>115</v>
      </c>
      <c r="C173" t="s">
        <v>112</v>
      </c>
      <c r="D173">
        <v>1832</v>
      </c>
      <c r="E173">
        <v>29.1</v>
      </c>
      <c r="F173">
        <v>12581</v>
      </c>
      <c r="G173">
        <v>562</v>
      </c>
      <c r="H173">
        <v>9.06</v>
      </c>
      <c r="I173">
        <v>492</v>
      </c>
      <c r="J173">
        <v>2</v>
      </c>
    </row>
    <row r="174" spans="1:10" ht="15" customHeight="1" x14ac:dyDescent="0.3">
      <c r="A174" s="18">
        <v>45920</v>
      </c>
      <c r="B174" t="s">
        <v>116</v>
      </c>
      <c r="C174" t="s">
        <v>112</v>
      </c>
      <c r="D174">
        <v>1923</v>
      </c>
      <c r="E174">
        <v>27.3</v>
      </c>
      <c r="F174">
        <v>12833</v>
      </c>
      <c r="G174">
        <v>707</v>
      </c>
      <c r="H174">
        <v>9.24</v>
      </c>
      <c r="I174">
        <v>486</v>
      </c>
      <c r="J174">
        <v>0</v>
      </c>
    </row>
    <row r="175" spans="1:10" ht="15" customHeight="1" x14ac:dyDescent="0.3">
      <c r="A175" s="18">
        <v>45921</v>
      </c>
      <c r="B175" t="s">
        <v>117</v>
      </c>
      <c r="C175" t="s">
        <v>118</v>
      </c>
      <c r="D175">
        <v>0</v>
      </c>
      <c r="E175">
        <v>28.7</v>
      </c>
      <c r="F175">
        <v>2685</v>
      </c>
      <c r="G175">
        <v>728</v>
      </c>
      <c r="H175">
        <v>1.93</v>
      </c>
      <c r="I175">
        <v>448</v>
      </c>
      <c r="J175">
        <v>2</v>
      </c>
    </row>
    <row r="176" spans="1:10" ht="15" customHeight="1" x14ac:dyDescent="0.3">
      <c r="A176" s="18">
        <v>45922</v>
      </c>
      <c r="B176" t="s">
        <v>119</v>
      </c>
      <c r="C176" t="s">
        <v>112</v>
      </c>
      <c r="D176">
        <v>1678</v>
      </c>
      <c r="E176">
        <v>30.3</v>
      </c>
      <c r="F176">
        <v>12123</v>
      </c>
      <c r="G176">
        <v>950</v>
      </c>
      <c r="H176">
        <v>8.73</v>
      </c>
      <c r="I176">
        <v>434</v>
      </c>
      <c r="J176">
        <v>0</v>
      </c>
    </row>
    <row r="177" spans="1:10" ht="15" customHeight="1" x14ac:dyDescent="0.3">
      <c r="A177" s="18">
        <v>45923</v>
      </c>
      <c r="B177" t="s">
        <v>111</v>
      </c>
      <c r="C177" t="s">
        <v>112</v>
      </c>
      <c r="D177">
        <v>1908</v>
      </c>
      <c r="E177">
        <v>34.1</v>
      </c>
      <c r="F177">
        <v>14384</v>
      </c>
      <c r="G177">
        <v>552</v>
      </c>
      <c r="H177">
        <v>10.36</v>
      </c>
      <c r="I177">
        <v>479</v>
      </c>
      <c r="J177">
        <v>1</v>
      </c>
    </row>
    <row r="178" spans="1:10" ht="15" customHeight="1" x14ac:dyDescent="0.3">
      <c r="A178" s="18">
        <v>45924</v>
      </c>
      <c r="B178" t="s">
        <v>113</v>
      </c>
      <c r="C178" t="s">
        <v>112</v>
      </c>
      <c r="D178">
        <v>1399</v>
      </c>
      <c r="E178">
        <v>27.5</v>
      </c>
      <c r="F178">
        <v>10136</v>
      </c>
      <c r="G178">
        <v>704</v>
      </c>
      <c r="H178">
        <v>7.3</v>
      </c>
      <c r="I178">
        <v>381</v>
      </c>
      <c r="J178">
        <v>2</v>
      </c>
    </row>
    <row r="179" spans="1:10" ht="15" customHeight="1" x14ac:dyDescent="0.3">
      <c r="A179" s="18">
        <v>45925</v>
      </c>
      <c r="B179" t="s">
        <v>114</v>
      </c>
      <c r="C179" t="s">
        <v>112</v>
      </c>
      <c r="D179">
        <v>1708</v>
      </c>
      <c r="E179">
        <v>32.200000000000003</v>
      </c>
      <c r="F179">
        <v>12619</v>
      </c>
      <c r="G179">
        <v>843</v>
      </c>
      <c r="H179">
        <v>9.09</v>
      </c>
      <c r="I179">
        <v>471</v>
      </c>
      <c r="J179">
        <v>1</v>
      </c>
    </row>
    <row r="180" spans="1:10" ht="15" customHeight="1" x14ac:dyDescent="0.3">
      <c r="A180" s="18">
        <v>45926</v>
      </c>
      <c r="B180" t="s">
        <v>115</v>
      </c>
      <c r="C180" t="s">
        <v>112</v>
      </c>
      <c r="D180">
        <v>1954</v>
      </c>
      <c r="E180">
        <v>27.4</v>
      </c>
      <c r="F180">
        <v>12952</v>
      </c>
      <c r="G180">
        <v>509</v>
      </c>
      <c r="H180">
        <v>9.33</v>
      </c>
      <c r="I180">
        <v>516</v>
      </c>
      <c r="J180">
        <v>0</v>
      </c>
    </row>
    <row r="181" spans="1:10" ht="15" customHeight="1" x14ac:dyDescent="0.3">
      <c r="A181" s="18">
        <v>45927</v>
      </c>
      <c r="B181" t="s">
        <v>116</v>
      </c>
      <c r="C181" t="s">
        <v>112</v>
      </c>
      <c r="D181">
        <v>1844</v>
      </c>
      <c r="E181">
        <v>29.4</v>
      </c>
      <c r="F181">
        <v>12985</v>
      </c>
      <c r="G181">
        <v>328</v>
      </c>
      <c r="H181">
        <v>9.35</v>
      </c>
      <c r="I181">
        <v>428</v>
      </c>
      <c r="J181">
        <v>1</v>
      </c>
    </row>
    <row r="182" spans="1:10" ht="15" customHeight="1" x14ac:dyDescent="0.3">
      <c r="A182" s="18">
        <v>45928</v>
      </c>
      <c r="B182" t="s">
        <v>117</v>
      </c>
      <c r="C182" t="s">
        <v>118</v>
      </c>
      <c r="D182">
        <v>0</v>
      </c>
      <c r="E182">
        <v>27.1</v>
      </c>
      <c r="F182">
        <v>2494</v>
      </c>
      <c r="G182">
        <v>1033</v>
      </c>
      <c r="H182">
        <v>1.8</v>
      </c>
      <c r="I182">
        <v>454</v>
      </c>
      <c r="J182">
        <v>0</v>
      </c>
    </row>
    <row r="183" spans="1:10" ht="15" customHeight="1" x14ac:dyDescent="0.3">
      <c r="A183" s="18">
        <v>45929</v>
      </c>
      <c r="B183" t="s">
        <v>119</v>
      </c>
      <c r="C183" t="s">
        <v>112</v>
      </c>
      <c r="D183">
        <v>1943</v>
      </c>
      <c r="E183">
        <v>28.7</v>
      </c>
      <c r="F183">
        <v>13149</v>
      </c>
      <c r="G183">
        <v>806</v>
      </c>
      <c r="H183">
        <v>9.4700000000000006</v>
      </c>
      <c r="I183">
        <v>519</v>
      </c>
      <c r="J183">
        <v>1</v>
      </c>
    </row>
    <row r="184" spans="1:10" ht="15" customHeight="1" x14ac:dyDescent="0.3">
      <c r="A184" s="18">
        <v>45930</v>
      </c>
      <c r="B184" t="s">
        <v>111</v>
      </c>
      <c r="C184" t="s">
        <v>112</v>
      </c>
      <c r="D184">
        <v>1647</v>
      </c>
      <c r="E184">
        <v>27.7</v>
      </c>
      <c r="F184">
        <v>11513</v>
      </c>
      <c r="G184">
        <v>471</v>
      </c>
      <c r="H184">
        <v>8.2899999999999991</v>
      </c>
      <c r="I184">
        <v>450</v>
      </c>
      <c r="J184">
        <v>1</v>
      </c>
    </row>
    <row r="185" spans="1:10" ht="15" customHeight="1" x14ac:dyDescent="0.3">
      <c r="A185" s="18">
        <v>45931</v>
      </c>
      <c r="B185" t="s">
        <v>113</v>
      </c>
      <c r="C185" t="s">
        <v>112</v>
      </c>
      <c r="D185">
        <v>1953</v>
      </c>
      <c r="E185">
        <v>24.8</v>
      </c>
      <c r="F185">
        <v>13210</v>
      </c>
      <c r="G185">
        <v>1597</v>
      </c>
      <c r="H185">
        <v>9.51</v>
      </c>
      <c r="I185">
        <v>384</v>
      </c>
      <c r="J185">
        <v>1</v>
      </c>
    </row>
    <row r="186" spans="1:10" ht="15" customHeight="1" x14ac:dyDescent="0.3">
      <c r="A186" s="18">
        <v>45932</v>
      </c>
      <c r="B186" t="s">
        <v>114</v>
      </c>
      <c r="C186" t="s">
        <v>112</v>
      </c>
      <c r="D186">
        <v>1762</v>
      </c>
      <c r="E186">
        <v>29.3</v>
      </c>
      <c r="F186">
        <v>12057</v>
      </c>
      <c r="G186">
        <v>1833</v>
      </c>
      <c r="H186">
        <v>8.68</v>
      </c>
      <c r="I186">
        <v>452</v>
      </c>
      <c r="J186">
        <v>1</v>
      </c>
    </row>
    <row r="187" spans="1:10" ht="15" customHeight="1" x14ac:dyDescent="0.3">
      <c r="A187" s="18">
        <v>45933</v>
      </c>
      <c r="B187" t="s">
        <v>115</v>
      </c>
      <c r="C187" t="s">
        <v>112</v>
      </c>
      <c r="D187">
        <v>1669</v>
      </c>
      <c r="E187">
        <v>31</v>
      </c>
      <c r="F187">
        <v>11609</v>
      </c>
      <c r="G187">
        <v>1498</v>
      </c>
      <c r="H187">
        <v>8.36</v>
      </c>
      <c r="I187">
        <v>392</v>
      </c>
      <c r="J187">
        <v>2</v>
      </c>
    </row>
    <row r="188" spans="1:10" ht="15" customHeight="1" x14ac:dyDescent="0.3">
      <c r="A188" s="18">
        <v>45934</v>
      </c>
      <c r="B188" t="s">
        <v>116</v>
      </c>
      <c r="C188" t="s">
        <v>112</v>
      </c>
      <c r="D188">
        <v>1487</v>
      </c>
      <c r="E188">
        <v>29.2</v>
      </c>
      <c r="F188">
        <v>10564</v>
      </c>
      <c r="G188">
        <v>1471</v>
      </c>
      <c r="H188">
        <v>7.61</v>
      </c>
      <c r="I188">
        <v>459</v>
      </c>
      <c r="J188">
        <v>0</v>
      </c>
    </row>
    <row r="189" spans="1:10" ht="15" customHeight="1" x14ac:dyDescent="0.3">
      <c r="A189" s="18">
        <v>45935</v>
      </c>
      <c r="B189" t="s">
        <v>117</v>
      </c>
      <c r="C189" t="s">
        <v>118</v>
      </c>
      <c r="D189">
        <v>0</v>
      </c>
      <c r="E189">
        <v>29.5</v>
      </c>
      <c r="F189">
        <v>2685</v>
      </c>
      <c r="G189">
        <v>1785</v>
      </c>
      <c r="H189">
        <v>1.93</v>
      </c>
      <c r="I189">
        <v>491</v>
      </c>
      <c r="J189">
        <v>2</v>
      </c>
    </row>
    <row r="190" spans="1:10" ht="15" customHeight="1" x14ac:dyDescent="0.3">
      <c r="A190" s="18">
        <v>45936</v>
      </c>
      <c r="B190" t="s">
        <v>119</v>
      </c>
      <c r="C190" t="s">
        <v>112</v>
      </c>
      <c r="D190">
        <v>1883</v>
      </c>
      <c r="E190">
        <v>29.2</v>
      </c>
      <c r="F190">
        <v>12712</v>
      </c>
      <c r="G190">
        <v>1832</v>
      </c>
      <c r="H190">
        <v>9.15</v>
      </c>
      <c r="I190">
        <v>393</v>
      </c>
      <c r="J190">
        <v>2</v>
      </c>
    </row>
    <row r="191" spans="1:10" ht="15" customHeight="1" x14ac:dyDescent="0.3">
      <c r="A191" s="18">
        <v>45937</v>
      </c>
      <c r="B191" t="s">
        <v>111</v>
      </c>
      <c r="C191" t="s">
        <v>112</v>
      </c>
      <c r="D191">
        <v>1533</v>
      </c>
      <c r="E191">
        <v>28.6</v>
      </c>
      <c r="F191">
        <v>10526</v>
      </c>
      <c r="G191">
        <v>1064</v>
      </c>
      <c r="H191">
        <v>7.58</v>
      </c>
      <c r="I191">
        <v>501</v>
      </c>
      <c r="J191">
        <v>1</v>
      </c>
    </row>
    <row r="192" spans="1:10" ht="15" customHeight="1" x14ac:dyDescent="0.3">
      <c r="A192" s="18">
        <v>45938</v>
      </c>
      <c r="B192" t="s">
        <v>113</v>
      </c>
      <c r="C192" t="s">
        <v>112</v>
      </c>
      <c r="D192">
        <v>2030</v>
      </c>
      <c r="E192">
        <v>30.8</v>
      </c>
      <c r="F192">
        <v>13741</v>
      </c>
      <c r="G192">
        <v>1552</v>
      </c>
      <c r="H192">
        <v>9.89</v>
      </c>
      <c r="I192">
        <v>496</v>
      </c>
      <c r="J192">
        <v>0</v>
      </c>
    </row>
    <row r="193" spans="1:10" ht="15" customHeight="1" x14ac:dyDescent="0.3">
      <c r="A193" s="18">
        <v>45939</v>
      </c>
      <c r="B193" t="s">
        <v>114</v>
      </c>
      <c r="C193" t="s">
        <v>112</v>
      </c>
      <c r="D193">
        <v>1739</v>
      </c>
      <c r="E193">
        <v>27.8</v>
      </c>
      <c r="F193">
        <v>11895</v>
      </c>
      <c r="G193">
        <v>1461</v>
      </c>
      <c r="H193">
        <v>8.56</v>
      </c>
      <c r="I193">
        <v>387</v>
      </c>
      <c r="J193">
        <v>2</v>
      </c>
    </row>
    <row r="194" spans="1:10" ht="15" customHeight="1" x14ac:dyDescent="0.3">
      <c r="A194" s="18">
        <v>45940</v>
      </c>
      <c r="B194" t="s">
        <v>115</v>
      </c>
      <c r="C194" t="s">
        <v>112</v>
      </c>
      <c r="D194">
        <v>1729</v>
      </c>
      <c r="E194">
        <v>28.6</v>
      </c>
      <c r="F194">
        <v>11980</v>
      </c>
      <c r="G194">
        <v>1472</v>
      </c>
      <c r="H194">
        <v>8.6300000000000008</v>
      </c>
      <c r="I194">
        <v>433</v>
      </c>
      <c r="J194">
        <v>1</v>
      </c>
    </row>
    <row r="195" spans="1:10" ht="15" customHeight="1" x14ac:dyDescent="0.3">
      <c r="A195" s="18">
        <v>45941</v>
      </c>
      <c r="B195" t="s">
        <v>116</v>
      </c>
      <c r="C195" t="s">
        <v>112</v>
      </c>
      <c r="D195">
        <v>1651</v>
      </c>
      <c r="E195">
        <v>26.8</v>
      </c>
      <c r="F195">
        <v>11290</v>
      </c>
      <c r="G195">
        <v>1662</v>
      </c>
      <c r="H195">
        <v>8.1300000000000008</v>
      </c>
      <c r="I195">
        <v>446</v>
      </c>
      <c r="J195">
        <v>2</v>
      </c>
    </row>
    <row r="196" spans="1:10" ht="15" customHeight="1" x14ac:dyDescent="0.3">
      <c r="A196" s="18">
        <v>45942</v>
      </c>
      <c r="B196" t="s">
        <v>117</v>
      </c>
      <c r="C196" t="s">
        <v>118</v>
      </c>
      <c r="D196">
        <v>0</v>
      </c>
      <c r="E196">
        <v>27.2</v>
      </c>
      <c r="F196">
        <v>2706</v>
      </c>
      <c r="G196">
        <v>1515</v>
      </c>
      <c r="H196">
        <v>1.95</v>
      </c>
      <c r="I196">
        <v>423</v>
      </c>
      <c r="J196">
        <v>0</v>
      </c>
    </row>
    <row r="197" spans="1:10" ht="15" customHeight="1" x14ac:dyDescent="0.3">
      <c r="A197" s="18">
        <v>45943</v>
      </c>
      <c r="B197" t="s">
        <v>119</v>
      </c>
      <c r="C197" t="s">
        <v>112</v>
      </c>
      <c r="D197">
        <v>1854</v>
      </c>
      <c r="E197">
        <v>29.8</v>
      </c>
      <c r="F197">
        <v>12539</v>
      </c>
      <c r="G197">
        <v>1476</v>
      </c>
      <c r="H197">
        <v>9.0299999999999994</v>
      </c>
      <c r="I197">
        <v>393</v>
      </c>
      <c r="J197">
        <v>2</v>
      </c>
    </row>
    <row r="198" spans="1:10" ht="15" customHeight="1" x14ac:dyDescent="0.3">
      <c r="A198" s="18">
        <v>45944</v>
      </c>
      <c r="B198" t="s">
        <v>111</v>
      </c>
      <c r="C198" t="s">
        <v>112</v>
      </c>
      <c r="D198">
        <v>1817</v>
      </c>
      <c r="E198">
        <v>27.3</v>
      </c>
      <c r="F198">
        <v>12506</v>
      </c>
      <c r="G198">
        <v>1635</v>
      </c>
      <c r="H198">
        <v>9</v>
      </c>
      <c r="I198">
        <v>450</v>
      </c>
      <c r="J198">
        <v>0</v>
      </c>
    </row>
    <row r="199" spans="1:10" ht="15" customHeight="1" x14ac:dyDescent="0.3">
      <c r="A199" s="18">
        <v>45945</v>
      </c>
      <c r="B199" t="s">
        <v>113</v>
      </c>
      <c r="C199" t="s">
        <v>112</v>
      </c>
      <c r="D199">
        <v>1992</v>
      </c>
      <c r="E199">
        <v>30.2</v>
      </c>
      <c r="F199">
        <v>13727</v>
      </c>
      <c r="G199">
        <v>1404</v>
      </c>
      <c r="H199">
        <v>9.8800000000000008</v>
      </c>
      <c r="I199">
        <v>459</v>
      </c>
      <c r="J199">
        <v>2</v>
      </c>
    </row>
    <row r="200" spans="1:10" ht="15" customHeight="1" x14ac:dyDescent="0.3">
      <c r="A200" s="18">
        <v>45946</v>
      </c>
      <c r="B200" t="s">
        <v>114</v>
      </c>
      <c r="C200" t="s">
        <v>112</v>
      </c>
      <c r="D200">
        <v>1835</v>
      </c>
      <c r="E200">
        <v>28.5</v>
      </c>
      <c r="F200">
        <v>12444</v>
      </c>
      <c r="G200">
        <v>1612</v>
      </c>
      <c r="H200">
        <v>8.9600000000000009</v>
      </c>
      <c r="I200">
        <v>467</v>
      </c>
      <c r="J200">
        <v>1</v>
      </c>
    </row>
    <row r="201" spans="1:10" ht="15" customHeight="1" x14ac:dyDescent="0.3">
      <c r="A201" s="18">
        <v>45947</v>
      </c>
      <c r="B201" t="s">
        <v>115</v>
      </c>
      <c r="C201" t="s">
        <v>112</v>
      </c>
      <c r="D201">
        <v>2084</v>
      </c>
      <c r="E201">
        <v>25.8</v>
      </c>
      <c r="F201">
        <v>13045</v>
      </c>
      <c r="G201">
        <v>1428</v>
      </c>
      <c r="H201">
        <v>9.39</v>
      </c>
      <c r="I201">
        <v>461</v>
      </c>
      <c r="J201">
        <v>2</v>
      </c>
    </row>
    <row r="202" spans="1:10" ht="15" customHeight="1" x14ac:dyDescent="0.3">
      <c r="A202" s="18">
        <v>45948</v>
      </c>
      <c r="B202" t="s">
        <v>116</v>
      </c>
      <c r="C202" t="s">
        <v>112</v>
      </c>
      <c r="D202">
        <v>1908</v>
      </c>
      <c r="E202">
        <v>25.7</v>
      </c>
      <c r="F202">
        <v>12014</v>
      </c>
      <c r="G202">
        <v>1744</v>
      </c>
      <c r="H202">
        <v>8.65</v>
      </c>
      <c r="I202">
        <v>423</v>
      </c>
      <c r="J202">
        <v>0</v>
      </c>
    </row>
    <row r="203" spans="1:10" ht="15" customHeight="1" x14ac:dyDescent="0.3">
      <c r="A203" s="18">
        <v>45949</v>
      </c>
      <c r="B203" t="s">
        <v>117</v>
      </c>
      <c r="C203" t="s">
        <v>118</v>
      </c>
      <c r="D203">
        <v>0</v>
      </c>
      <c r="E203">
        <v>27.1</v>
      </c>
      <c r="F203">
        <v>2430</v>
      </c>
      <c r="G203">
        <v>1484</v>
      </c>
      <c r="H203">
        <v>1.75</v>
      </c>
      <c r="I203">
        <v>387</v>
      </c>
      <c r="J203">
        <v>1</v>
      </c>
    </row>
    <row r="204" spans="1:10" ht="15" customHeight="1" x14ac:dyDescent="0.3">
      <c r="A204" s="18">
        <v>45950</v>
      </c>
      <c r="B204" t="s">
        <v>119</v>
      </c>
      <c r="C204" t="s">
        <v>112</v>
      </c>
      <c r="D204">
        <v>2159</v>
      </c>
      <c r="E204">
        <v>27.3</v>
      </c>
      <c r="F204">
        <v>14388</v>
      </c>
      <c r="G204">
        <v>1804</v>
      </c>
      <c r="H204">
        <v>10.36</v>
      </c>
      <c r="I204">
        <v>421</v>
      </c>
      <c r="J204">
        <v>2</v>
      </c>
    </row>
    <row r="205" spans="1:10" ht="15" customHeight="1" x14ac:dyDescent="0.3">
      <c r="A205" s="18">
        <v>45951</v>
      </c>
      <c r="B205" t="s">
        <v>111</v>
      </c>
      <c r="C205" t="s">
        <v>112</v>
      </c>
      <c r="D205">
        <v>1984</v>
      </c>
      <c r="E205">
        <v>24.9</v>
      </c>
      <c r="F205">
        <v>13039</v>
      </c>
      <c r="G205">
        <v>1495</v>
      </c>
      <c r="H205">
        <v>9.39</v>
      </c>
      <c r="I205">
        <v>513</v>
      </c>
      <c r="J205">
        <v>0</v>
      </c>
    </row>
    <row r="206" spans="1:10" ht="15" customHeight="1" x14ac:dyDescent="0.3">
      <c r="A206" s="18">
        <v>45952</v>
      </c>
      <c r="B206" t="s">
        <v>113</v>
      </c>
      <c r="C206" t="s">
        <v>112</v>
      </c>
      <c r="D206">
        <v>1622</v>
      </c>
      <c r="E206">
        <v>28.7</v>
      </c>
      <c r="F206">
        <v>11172</v>
      </c>
      <c r="G206">
        <v>1507</v>
      </c>
      <c r="H206">
        <v>8.0399999999999991</v>
      </c>
      <c r="I206">
        <v>446</v>
      </c>
      <c r="J206">
        <v>2</v>
      </c>
    </row>
    <row r="207" spans="1:10" ht="15" customHeight="1" x14ac:dyDescent="0.3">
      <c r="A207" s="18">
        <v>45953</v>
      </c>
      <c r="B207" t="s">
        <v>114</v>
      </c>
      <c r="C207" t="s">
        <v>112</v>
      </c>
      <c r="D207">
        <v>1851</v>
      </c>
      <c r="E207">
        <v>25.8</v>
      </c>
      <c r="F207">
        <v>12607</v>
      </c>
      <c r="G207">
        <v>1513</v>
      </c>
      <c r="H207">
        <v>9.08</v>
      </c>
      <c r="I207">
        <v>389</v>
      </c>
      <c r="J207">
        <v>2</v>
      </c>
    </row>
    <row r="208" spans="1:10" ht="15" customHeight="1" x14ac:dyDescent="0.3">
      <c r="A208" s="18">
        <v>45954</v>
      </c>
      <c r="B208" t="s">
        <v>115</v>
      </c>
      <c r="C208" t="s">
        <v>112</v>
      </c>
      <c r="D208">
        <v>1820</v>
      </c>
      <c r="E208">
        <v>26.9</v>
      </c>
      <c r="F208">
        <v>12176</v>
      </c>
      <c r="G208">
        <v>1682</v>
      </c>
      <c r="H208">
        <v>8.77</v>
      </c>
      <c r="I208">
        <v>431</v>
      </c>
      <c r="J208">
        <v>1</v>
      </c>
    </row>
    <row r="209" spans="1:10" ht="15" customHeight="1" x14ac:dyDescent="0.3">
      <c r="A209" s="18">
        <v>45955</v>
      </c>
      <c r="B209" t="s">
        <v>116</v>
      </c>
      <c r="C209" t="s">
        <v>112</v>
      </c>
      <c r="D209">
        <v>1847</v>
      </c>
      <c r="E209">
        <v>26.2</v>
      </c>
      <c r="F209">
        <v>11935</v>
      </c>
      <c r="G209">
        <v>1316</v>
      </c>
      <c r="H209">
        <v>8.59</v>
      </c>
      <c r="I209">
        <v>419</v>
      </c>
      <c r="J209">
        <v>2</v>
      </c>
    </row>
    <row r="210" spans="1:10" ht="15" customHeight="1" x14ac:dyDescent="0.3">
      <c r="A210" s="18">
        <v>45956</v>
      </c>
      <c r="B210" t="s">
        <v>117</v>
      </c>
      <c r="C210" t="s">
        <v>118</v>
      </c>
      <c r="D210">
        <v>0</v>
      </c>
      <c r="E210">
        <v>27.2</v>
      </c>
      <c r="F210">
        <v>2079</v>
      </c>
      <c r="G210">
        <v>1730</v>
      </c>
      <c r="H210">
        <v>1.5</v>
      </c>
      <c r="I210">
        <v>481</v>
      </c>
      <c r="J210">
        <v>1</v>
      </c>
    </row>
    <row r="211" spans="1:10" ht="15" customHeight="1" x14ac:dyDescent="0.3">
      <c r="A211" s="18">
        <v>45957</v>
      </c>
      <c r="B211" t="s">
        <v>119</v>
      </c>
      <c r="C211" t="s">
        <v>112</v>
      </c>
      <c r="D211">
        <v>1996</v>
      </c>
      <c r="E211">
        <v>24.8</v>
      </c>
      <c r="F211">
        <v>12594</v>
      </c>
      <c r="G211">
        <v>1477</v>
      </c>
      <c r="H211">
        <v>9.07</v>
      </c>
      <c r="I211">
        <v>408</v>
      </c>
      <c r="J211">
        <v>0</v>
      </c>
    </row>
    <row r="212" spans="1:10" ht="15" customHeight="1" x14ac:dyDescent="0.3">
      <c r="A212" s="18">
        <v>45958</v>
      </c>
      <c r="B212" t="s">
        <v>111</v>
      </c>
      <c r="C212" t="s">
        <v>112</v>
      </c>
      <c r="D212">
        <v>1727</v>
      </c>
      <c r="E212">
        <v>26.6</v>
      </c>
      <c r="F212">
        <v>11077</v>
      </c>
      <c r="G212">
        <v>1719</v>
      </c>
      <c r="H212">
        <v>7.98</v>
      </c>
      <c r="I212">
        <v>412</v>
      </c>
      <c r="J212">
        <v>1</v>
      </c>
    </row>
    <row r="213" spans="1:10" ht="15" customHeight="1" x14ac:dyDescent="0.3">
      <c r="A213" s="18">
        <v>45959</v>
      </c>
      <c r="B213" t="s">
        <v>113</v>
      </c>
      <c r="C213" t="s">
        <v>112</v>
      </c>
      <c r="D213">
        <v>1801</v>
      </c>
      <c r="E213">
        <v>25.1</v>
      </c>
      <c r="F213">
        <v>11775</v>
      </c>
      <c r="G213">
        <v>1792</v>
      </c>
      <c r="H213">
        <v>8.48</v>
      </c>
      <c r="I213">
        <v>455</v>
      </c>
      <c r="J213">
        <v>1</v>
      </c>
    </row>
    <row r="214" spans="1:10" ht="15" customHeight="1" x14ac:dyDescent="0.3">
      <c r="A214" s="18">
        <v>45960</v>
      </c>
      <c r="B214" t="s">
        <v>114</v>
      </c>
      <c r="C214" t="s">
        <v>112</v>
      </c>
      <c r="D214">
        <v>1778</v>
      </c>
      <c r="E214">
        <v>24.9</v>
      </c>
      <c r="F214">
        <v>11825</v>
      </c>
      <c r="G214">
        <v>1821</v>
      </c>
      <c r="H214">
        <v>8.51</v>
      </c>
      <c r="I214">
        <v>398</v>
      </c>
      <c r="J214">
        <v>0</v>
      </c>
    </row>
    <row r="215" spans="1:10" ht="15" customHeight="1" x14ac:dyDescent="0.3">
      <c r="A215" s="18">
        <v>45961</v>
      </c>
      <c r="B215" t="s">
        <v>115</v>
      </c>
      <c r="C215" t="s">
        <v>112</v>
      </c>
      <c r="D215">
        <v>1865</v>
      </c>
      <c r="E215">
        <v>27.3</v>
      </c>
      <c r="F215">
        <v>12370</v>
      </c>
      <c r="G215">
        <v>1781</v>
      </c>
      <c r="H215">
        <v>8.91</v>
      </c>
      <c r="I215">
        <v>464</v>
      </c>
      <c r="J215">
        <v>2</v>
      </c>
    </row>
    <row r="216" spans="1:10" ht="15" customHeight="1" x14ac:dyDescent="0.3">
      <c r="A216" s="18">
        <v>45962</v>
      </c>
      <c r="B216" t="s">
        <v>116</v>
      </c>
      <c r="C216" t="s">
        <v>112</v>
      </c>
      <c r="D216">
        <v>1647</v>
      </c>
      <c r="E216">
        <v>27.6</v>
      </c>
      <c r="F216">
        <v>11418</v>
      </c>
      <c r="G216">
        <v>1792</v>
      </c>
      <c r="H216">
        <v>8.2200000000000006</v>
      </c>
      <c r="I216">
        <v>487</v>
      </c>
      <c r="J216">
        <v>1</v>
      </c>
    </row>
    <row r="217" spans="1:10" ht="15" customHeight="1" x14ac:dyDescent="0.3">
      <c r="A217" s="18">
        <v>45963</v>
      </c>
      <c r="B217" t="s">
        <v>117</v>
      </c>
      <c r="C217" t="s">
        <v>118</v>
      </c>
      <c r="D217">
        <v>0</v>
      </c>
      <c r="E217">
        <v>24.3</v>
      </c>
      <c r="F217">
        <v>2287</v>
      </c>
      <c r="G217">
        <v>1447</v>
      </c>
      <c r="H217">
        <v>1.65</v>
      </c>
      <c r="I217">
        <v>490</v>
      </c>
      <c r="J217">
        <v>1</v>
      </c>
    </row>
    <row r="218" spans="1:10" ht="15" customHeight="1" x14ac:dyDescent="0.3">
      <c r="A218" s="18">
        <v>45964</v>
      </c>
      <c r="B218" t="s">
        <v>119</v>
      </c>
      <c r="C218" t="s">
        <v>112</v>
      </c>
      <c r="D218">
        <v>1758</v>
      </c>
      <c r="E218">
        <v>24.9</v>
      </c>
      <c r="F218">
        <v>11443</v>
      </c>
      <c r="G218">
        <v>1492</v>
      </c>
      <c r="H218">
        <v>8.24</v>
      </c>
      <c r="I218">
        <v>389</v>
      </c>
      <c r="J218">
        <v>1</v>
      </c>
    </row>
    <row r="219" spans="1:10" ht="15" customHeight="1" x14ac:dyDescent="0.3">
      <c r="A219" s="18">
        <v>45965</v>
      </c>
      <c r="B219" t="s">
        <v>111</v>
      </c>
      <c r="C219" t="s">
        <v>112</v>
      </c>
      <c r="D219">
        <v>2186</v>
      </c>
      <c r="E219">
        <v>24.7</v>
      </c>
      <c r="F219">
        <v>13328</v>
      </c>
      <c r="G219">
        <v>1703</v>
      </c>
      <c r="H219">
        <v>9.6</v>
      </c>
      <c r="I219">
        <v>514</v>
      </c>
      <c r="J219">
        <v>1</v>
      </c>
    </row>
    <row r="220" spans="1:10" ht="15" customHeight="1" x14ac:dyDescent="0.3">
      <c r="A220" s="18">
        <v>45966</v>
      </c>
      <c r="B220" t="s">
        <v>113</v>
      </c>
      <c r="C220" t="s">
        <v>112</v>
      </c>
      <c r="D220">
        <v>1716</v>
      </c>
      <c r="E220">
        <v>26.3</v>
      </c>
      <c r="F220">
        <v>11225</v>
      </c>
      <c r="G220">
        <v>1652</v>
      </c>
      <c r="H220">
        <v>8.08</v>
      </c>
      <c r="I220">
        <v>403</v>
      </c>
      <c r="J220">
        <v>1</v>
      </c>
    </row>
    <row r="221" spans="1:10" ht="15" customHeight="1" x14ac:dyDescent="0.3">
      <c r="A221" s="18">
        <v>45967</v>
      </c>
      <c r="B221" t="s">
        <v>114</v>
      </c>
      <c r="C221" t="s">
        <v>112</v>
      </c>
      <c r="D221">
        <v>2027</v>
      </c>
      <c r="E221">
        <v>26</v>
      </c>
      <c r="F221">
        <v>13140</v>
      </c>
      <c r="G221">
        <v>1625</v>
      </c>
      <c r="H221">
        <v>9.4600000000000009</v>
      </c>
      <c r="I221">
        <v>438</v>
      </c>
      <c r="J221">
        <v>1</v>
      </c>
    </row>
    <row r="222" spans="1:10" ht="15" customHeight="1" x14ac:dyDescent="0.3">
      <c r="A222" s="18">
        <v>45968</v>
      </c>
      <c r="B222" t="s">
        <v>115</v>
      </c>
      <c r="C222" t="s">
        <v>112</v>
      </c>
      <c r="D222">
        <v>1884</v>
      </c>
      <c r="E222">
        <v>26.8</v>
      </c>
      <c r="F222">
        <v>12694</v>
      </c>
      <c r="G222">
        <v>1606</v>
      </c>
      <c r="H222">
        <v>9.14</v>
      </c>
      <c r="I222">
        <v>494</v>
      </c>
      <c r="J222">
        <v>2</v>
      </c>
    </row>
    <row r="223" spans="1:10" ht="15" customHeight="1" x14ac:dyDescent="0.3">
      <c r="A223" s="18">
        <v>45969</v>
      </c>
      <c r="B223" t="s">
        <v>116</v>
      </c>
      <c r="C223" t="s">
        <v>112</v>
      </c>
      <c r="D223">
        <v>1775</v>
      </c>
      <c r="E223">
        <v>23.5</v>
      </c>
      <c r="F223">
        <v>11816</v>
      </c>
      <c r="G223">
        <v>1663</v>
      </c>
      <c r="H223">
        <v>8.51</v>
      </c>
      <c r="I223">
        <v>423</v>
      </c>
      <c r="J223">
        <v>0</v>
      </c>
    </row>
    <row r="224" spans="1:10" ht="15" customHeight="1" x14ac:dyDescent="0.3">
      <c r="A224" s="18">
        <v>45970</v>
      </c>
      <c r="B224" t="s">
        <v>117</v>
      </c>
      <c r="C224" t="s">
        <v>118</v>
      </c>
      <c r="D224">
        <v>0</v>
      </c>
      <c r="E224">
        <v>23.6</v>
      </c>
      <c r="F224">
        <v>2908</v>
      </c>
      <c r="G224">
        <v>1523</v>
      </c>
      <c r="H224">
        <v>2.09</v>
      </c>
      <c r="I224">
        <v>456</v>
      </c>
      <c r="J224">
        <v>1</v>
      </c>
    </row>
    <row r="225" spans="1:10" ht="15" customHeight="1" x14ac:dyDescent="0.3">
      <c r="A225" s="18">
        <v>45971</v>
      </c>
      <c r="B225" t="s">
        <v>119</v>
      </c>
      <c r="C225" t="s">
        <v>112</v>
      </c>
      <c r="D225">
        <v>1999</v>
      </c>
      <c r="E225">
        <v>23.5</v>
      </c>
      <c r="F225">
        <v>13016</v>
      </c>
      <c r="G225">
        <v>1407</v>
      </c>
      <c r="H225">
        <v>9.3699999999999992</v>
      </c>
      <c r="I225">
        <v>461</v>
      </c>
      <c r="J225">
        <v>0</v>
      </c>
    </row>
    <row r="226" spans="1:10" ht="15" customHeight="1" x14ac:dyDescent="0.3">
      <c r="A226" s="18">
        <v>45972</v>
      </c>
      <c r="B226" t="s">
        <v>111</v>
      </c>
      <c r="C226" t="s">
        <v>112</v>
      </c>
      <c r="D226">
        <v>1670</v>
      </c>
      <c r="E226">
        <v>25.2</v>
      </c>
      <c r="F226">
        <v>10793</v>
      </c>
      <c r="G226">
        <v>1695</v>
      </c>
      <c r="H226">
        <v>7.77</v>
      </c>
      <c r="I226">
        <v>481</v>
      </c>
      <c r="J226">
        <v>1</v>
      </c>
    </row>
    <row r="227" spans="1:10" ht="15" customHeight="1" x14ac:dyDescent="0.3">
      <c r="A227" s="18">
        <v>45973</v>
      </c>
      <c r="B227" t="s">
        <v>113</v>
      </c>
      <c r="C227" t="s">
        <v>112</v>
      </c>
      <c r="D227">
        <v>1720</v>
      </c>
      <c r="E227">
        <v>21.9</v>
      </c>
      <c r="F227">
        <v>11676</v>
      </c>
      <c r="G227">
        <v>1760</v>
      </c>
      <c r="H227">
        <v>8.41</v>
      </c>
      <c r="I227">
        <v>475</v>
      </c>
      <c r="J227">
        <v>2</v>
      </c>
    </row>
    <row r="228" spans="1:10" ht="15" customHeight="1" x14ac:dyDescent="0.3">
      <c r="A228" s="18">
        <v>45974</v>
      </c>
      <c r="B228" t="s">
        <v>114</v>
      </c>
      <c r="C228" t="s">
        <v>112</v>
      </c>
      <c r="D228">
        <v>1696</v>
      </c>
      <c r="E228">
        <v>25.1</v>
      </c>
      <c r="F228">
        <v>10918</v>
      </c>
      <c r="G228">
        <v>1610</v>
      </c>
      <c r="H228">
        <v>7.86</v>
      </c>
      <c r="I228">
        <v>472</v>
      </c>
      <c r="J228">
        <v>0</v>
      </c>
    </row>
    <row r="229" spans="1:10" ht="15" customHeight="1" x14ac:dyDescent="0.3">
      <c r="A229" s="18">
        <v>45975</v>
      </c>
      <c r="B229" t="s">
        <v>115</v>
      </c>
      <c r="C229" t="s">
        <v>112</v>
      </c>
      <c r="D229">
        <v>1777</v>
      </c>
      <c r="E229">
        <v>23.2</v>
      </c>
      <c r="F229">
        <v>11826</v>
      </c>
      <c r="G229">
        <v>1509</v>
      </c>
      <c r="H229">
        <v>8.52</v>
      </c>
      <c r="I229">
        <v>459</v>
      </c>
      <c r="J229">
        <v>2</v>
      </c>
    </row>
    <row r="230" spans="1:10" ht="15" customHeight="1" x14ac:dyDescent="0.3">
      <c r="A230" s="18">
        <v>45976</v>
      </c>
      <c r="B230" t="s">
        <v>116</v>
      </c>
      <c r="C230" t="s">
        <v>112</v>
      </c>
      <c r="D230">
        <v>1896</v>
      </c>
      <c r="E230">
        <v>23.3</v>
      </c>
      <c r="F230">
        <v>12250</v>
      </c>
      <c r="G230">
        <v>1653</v>
      </c>
      <c r="H230">
        <v>8.82</v>
      </c>
      <c r="I230">
        <v>410</v>
      </c>
      <c r="J230">
        <v>2</v>
      </c>
    </row>
    <row r="231" spans="1:10" ht="15" customHeight="1" x14ac:dyDescent="0.3">
      <c r="A231" s="18">
        <v>45977</v>
      </c>
      <c r="B231" t="s">
        <v>117</v>
      </c>
      <c r="C231" t="s">
        <v>118</v>
      </c>
      <c r="D231">
        <v>0</v>
      </c>
      <c r="E231">
        <v>24.9</v>
      </c>
      <c r="F231">
        <v>2629</v>
      </c>
      <c r="G231">
        <v>1643</v>
      </c>
      <c r="H231">
        <v>1.89</v>
      </c>
      <c r="I231">
        <v>455</v>
      </c>
      <c r="J231">
        <v>2</v>
      </c>
    </row>
    <row r="232" spans="1:10" ht="15" customHeight="1" x14ac:dyDescent="0.3">
      <c r="A232" s="18">
        <v>45978</v>
      </c>
      <c r="B232" t="s">
        <v>119</v>
      </c>
      <c r="C232" t="s">
        <v>112</v>
      </c>
      <c r="D232">
        <v>1544</v>
      </c>
      <c r="E232">
        <v>22.8</v>
      </c>
      <c r="F232">
        <v>10688</v>
      </c>
      <c r="G232">
        <v>1777</v>
      </c>
      <c r="H232">
        <v>7.7</v>
      </c>
      <c r="I232">
        <v>466</v>
      </c>
      <c r="J232">
        <v>2</v>
      </c>
    </row>
    <row r="233" spans="1:10" ht="15" customHeight="1" x14ac:dyDescent="0.3">
      <c r="A233" s="18">
        <v>45979</v>
      </c>
      <c r="B233" t="s">
        <v>111</v>
      </c>
      <c r="C233" t="s">
        <v>112</v>
      </c>
      <c r="D233">
        <v>1925</v>
      </c>
      <c r="E233">
        <v>23.7</v>
      </c>
      <c r="F233">
        <v>12505</v>
      </c>
      <c r="G233">
        <v>2027</v>
      </c>
      <c r="H233">
        <v>9</v>
      </c>
      <c r="I233">
        <v>480</v>
      </c>
      <c r="J233">
        <v>1</v>
      </c>
    </row>
    <row r="234" spans="1:10" ht="15" customHeight="1" x14ac:dyDescent="0.3">
      <c r="A234" s="18">
        <v>45980</v>
      </c>
      <c r="B234" t="s">
        <v>113</v>
      </c>
      <c r="C234" t="s">
        <v>112</v>
      </c>
      <c r="D234">
        <v>1751</v>
      </c>
      <c r="E234">
        <v>25.6</v>
      </c>
      <c r="F234">
        <v>11411</v>
      </c>
      <c r="G234">
        <v>1602</v>
      </c>
      <c r="H234">
        <v>8.2200000000000006</v>
      </c>
      <c r="I234">
        <v>440</v>
      </c>
      <c r="J234">
        <v>1</v>
      </c>
    </row>
    <row r="235" spans="1:10" ht="15" customHeight="1" x14ac:dyDescent="0.3">
      <c r="A235" s="18">
        <v>45981</v>
      </c>
      <c r="B235" t="s">
        <v>114</v>
      </c>
      <c r="C235" t="s">
        <v>112</v>
      </c>
      <c r="D235">
        <v>1630</v>
      </c>
      <c r="E235">
        <v>24.8</v>
      </c>
      <c r="F235">
        <v>10820</v>
      </c>
      <c r="G235">
        <v>1538</v>
      </c>
      <c r="H235">
        <v>7.79</v>
      </c>
      <c r="I235">
        <v>416</v>
      </c>
      <c r="J235">
        <v>0</v>
      </c>
    </row>
    <row r="236" spans="1:10" ht="15" customHeight="1" x14ac:dyDescent="0.3">
      <c r="A236" s="18">
        <v>45982</v>
      </c>
      <c r="B236" t="s">
        <v>115</v>
      </c>
      <c r="C236" t="s">
        <v>112</v>
      </c>
      <c r="D236">
        <v>1713</v>
      </c>
      <c r="E236">
        <v>25.5</v>
      </c>
      <c r="F236">
        <v>11413</v>
      </c>
      <c r="G236">
        <v>1853</v>
      </c>
      <c r="H236">
        <v>8.2200000000000006</v>
      </c>
      <c r="I236">
        <v>460</v>
      </c>
      <c r="J236">
        <v>0</v>
      </c>
    </row>
    <row r="237" spans="1:10" ht="15" customHeight="1" x14ac:dyDescent="0.3">
      <c r="A237" s="18">
        <v>45983</v>
      </c>
      <c r="B237" t="s">
        <v>116</v>
      </c>
      <c r="C237" t="s">
        <v>112</v>
      </c>
      <c r="D237">
        <v>1814</v>
      </c>
      <c r="E237">
        <v>25.1</v>
      </c>
      <c r="F237">
        <v>12309</v>
      </c>
      <c r="G237">
        <v>1404</v>
      </c>
      <c r="H237">
        <v>8.86</v>
      </c>
      <c r="I237">
        <v>489</v>
      </c>
      <c r="J237">
        <v>2</v>
      </c>
    </row>
    <row r="238" spans="1:10" ht="15" customHeight="1" x14ac:dyDescent="0.3">
      <c r="A238" s="18">
        <v>45984</v>
      </c>
      <c r="B238" t="s">
        <v>117</v>
      </c>
      <c r="C238" t="s">
        <v>118</v>
      </c>
      <c r="D238">
        <v>0</v>
      </c>
      <c r="E238">
        <v>26.8</v>
      </c>
      <c r="F238">
        <v>2820</v>
      </c>
      <c r="G238">
        <v>1429</v>
      </c>
      <c r="H238">
        <v>2.0299999999999998</v>
      </c>
      <c r="I238">
        <v>387</v>
      </c>
      <c r="J238">
        <v>2</v>
      </c>
    </row>
    <row r="239" spans="1:10" ht="15" customHeight="1" x14ac:dyDescent="0.3">
      <c r="A239" s="18">
        <v>45985</v>
      </c>
      <c r="B239" t="s">
        <v>119</v>
      </c>
      <c r="C239" t="s">
        <v>112</v>
      </c>
      <c r="D239">
        <v>1817</v>
      </c>
      <c r="E239">
        <v>25.5</v>
      </c>
      <c r="F239">
        <v>12007</v>
      </c>
      <c r="G239">
        <v>1791</v>
      </c>
      <c r="H239">
        <v>8.64</v>
      </c>
      <c r="I239">
        <v>402</v>
      </c>
      <c r="J239">
        <v>2</v>
      </c>
    </row>
    <row r="240" spans="1:10" ht="15" customHeight="1" x14ac:dyDescent="0.3">
      <c r="A240" s="18">
        <v>45986</v>
      </c>
      <c r="B240" t="s">
        <v>111</v>
      </c>
      <c r="C240" t="s">
        <v>112</v>
      </c>
      <c r="D240">
        <v>1836</v>
      </c>
      <c r="E240">
        <v>21.2</v>
      </c>
      <c r="F240">
        <v>12128</v>
      </c>
      <c r="G240">
        <v>1602</v>
      </c>
      <c r="H240">
        <v>8.73</v>
      </c>
      <c r="I240">
        <v>406</v>
      </c>
      <c r="J240">
        <v>2</v>
      </c>
    </row>
    <row r="241" spans="1:10" ht="15" customHeight="1" x14ac:dyDescent="0.3">
      <c r="A241" s="18">
        <v>45987</v>
      </c>
      <c r="B241" t="s">
        <v>113</v>
      </c>
      <c r="C241" t="s">
        <v>112</v>
      </c>
      <c r="D241">
        <v>1877</v>
      </c>
      <c r="E241">
        <v>23.8</v>
      </c>
      <c r="F241">
        <v>12340</v>
      </c>
      <c r="G241">
        <v>1548</v>
      </c>
      <c r="H241">
        <v>8.8800000000000008</v>
      </c>
      <c r="I241">
        <v>502</v>
      </c>
      <c r="J241">
        <v>2</v>
      </c>
    </row>
    <row r="242" spans="1:10" ht="15" customHeight="1" x14ac:dyDescent="0.3">
      <c r="A242" s="18">
        <v>45988</v>
      </c>
      <c r="B242" t="s">
        <v>114</v>
      </c>
      <c r="C242" t="s">
        <v>112</v>
      </c>
      <c r="D242">
        <v>1834</v>
      </c>
      <c r="E242">
        <v>24.2</v>
      </c>
      <c r="F242">
        <v>12374</v>
      </c>
      <c r="G242">
        <v>1541</v>
      </c>
      <c r="H242">
        <v>8.91</v>
      </c>
      <c r="I242">
        <v>425</v>
      </c>
      <c r="J242">
        <v>2</v>
      </c>
    </row>
    <row r="243" spans="1:10" ht="15" customHeight="1" x14ac:dyDescent="0.3">
      <c r="A243" s="18">
        <v>45989</v>
      </c>
      <c r="B243" t="s">
        <v>115</v>
      </c>
      <c r="C243" t="s">
        <v>112</v>
      </c>
      <c r="D243">
        <v>1694</v>
      </c>
      <c r="E243">
        <v>22.7</v>
      </c>
      <c r="F243">
        <v>10686</v>
      </c>
      <c r="G243">
        <v>1614</v>
      </c>
      <c r="H243">
        <v>7.69</v>
      </c>
      <c r="I243">
        <v>446</v>
      </c>
      <c r="J243">
        <v>1</v>
      </c>
    </row>
    <row r="244" spans="1:10" ht="15" customHeight="1" x14ac:dyDescent="0.3">
      <c r="A244" s="18">
        <v>45990</v>
      </c>
      <c r="B244" t="s">
        <v>116</v>
      </c>
      <c r="C244" t="s">
        <v>112</v>
      </c>
      <c r="D244">
        <v>1826</v>
      </c>
      <c r="E244">
        <v>20.6</v>
      </c>
      <c r="F244">
        <v>12176</v>
      </c>
      <c r="G244">
        <v>1492</v>
      </c>
      <c r="H244">
        <v>8.77</v>
      </c>
      <c r="I244">
        <v>496</v>
      </c>
      <c r="J244">
        <v>2</v>
      </c>
    </row>
    <row r="245" spans="1:10" ht="15" customHeight="1" x14ac:dyDescent="0.3">
      <c r="A245" s="18">
        <v>45991</v>
      </c>
      <c r="B245" t="s">
        <v>117</v>
      </c>
      <c r="C245" t="s">
        <v>118</v>
      </c>
      <c r="D245">
        <v>0</v>
      </c>
      <c r="E245">
        <v>22.4</v>
      </c>
      <c r="F245">
        <v>2326</v>
      </c>
      <c r="G245">
        <v>1514</v>
      </c>
      <c r="H245">
        <v>1.67</v>
      </c>
      <c r="I245">
        <v>489</v>
      </c>
      <c r="J245">
        <v>0</v>
      </c>
    </row>
    <row r="246" spans="1:10" ht="15" customHeight="1" x14ac:dyDescent="0.3">
      <c r="A246" s="18">
        <v>45992</v>
      </c>
      <c r="B246" t="s">
        <v>119</v>
      </c>
      <c r="C246" t="s">
        <v>112</v>
      </c>
      <c r="D246">
        <v>1888</v>
      </c>
      <c r="E246">
        <v>24.2</v>
      </c>
      <c r="F246">
        <v>12191</v>
      </c>
      <c r="G246">
        <v>1740</v>
      </c>
      <c r="H246">
        <v>8.7799999999999994</v>
      </c>
      <c r="I246">
        <v>408</v>
      </c>
      <c r="J246">
        <v>0</v>
      </c>
    </row>
    <row r="247" spans="1:10" ht="15" customHeight="1" x14ac:dyDescent="0.3">
      <c r="A247" s="18">
        <v>45993</v>
      </c>
      <c r="B247" t="s">
        <v>111</v>
      </c>
      <c r="C247" t="s">
        <v>112</v>
      </c>
      <c r="D247">
        <v>1881</v>
      </c>
      <c r="E247">
        <v>25.6</v>
      </c>
      <c r="F247">
        <v>12444</v>
      </c>
      <c r="G247">
        <v>1826</v>
      </c>
      <c r="H247">
        <v>8.9600000000000009</v>
      </c>
      <c r="I247">
        <v>491</v>
      </c>
      <c r="J247">
        <v>0</v>
      </c>
    </row>
    <row r="248" spans="1:10" ht="15" customHeight="1" x14ac:dyDescent="0.3">
      <c r="A248" s="18">
        <v>45994</v>
      </c>
      <c r="B248" t="s">
        <v>113</v>
      </c>
      <c r="C248" t="s">
        <v>112</v>
      </c>
      <c r="D248">
        <v>1900</v>
      </c>
      <c r="E248">
        <v>20.8</v>
      </c>
      <c r="F248">
        <v>12278</v>
      </c>
      <c r="G248">
        <v>1644</v>
      </c>
      <c r="H248">
        <v>8.84</v>
      </c>
      <c r="I248">
        <v>458</v>
      </c>
      <c r="J248">
        <v>1</v>
      </c>
    </row>
    <row r="249" spans="1:10" ht="15" customHeight="1" x14ac:dyDescent="0.3">
      <c r="A249" s="18">
        <v>45995</v>
      </c>
      <c r="B249" t="s">
        <v>114</v>
      </c>
      <c r="C249" t="s">
        <v>112</v>
      </c>
      <c r="D249">
        <v>1602</v>
      </c>
      <c r="E249">
        <v>22.6</v>
      </c>
      <c r="F249">
        <v>10681</v>
      </c>
      <c r="G249">
        <v>1418</v>
      </c>
      <c r="H249">
        <v>7.69</v>
      </c>
      <c r="I249">
        <v>483</v>
      </c>
      <c r="J249">
        <v>2</v>
      </c>
    </row>
    <row r="250" spans="1:10" ht="15" customHeight="1" x14ac:dyDescent="0.3">
      <c r="A250" s="18">
        <v>45996</v>
      </c>
      <c r="B250" t="s">
        <v>115</v>
      </c>
      <c r="C250" t="s">
        <v>112</v>
      </c>
      <c r="D250">
        <v>1734</v>
      </c>
      <c r="E250">
        <v>23.4</v>
      </c>
      <c r="F250">
        <v>11730</v>
      </c>
      <c r="G250">
        <v>1805</v>
      </c>
      <c r="H250">
        <v>8.4499999999999993</v>
      </c>
      <c r="I250">
        <v>417</v>
      </c>
      <c r="J250">
        <v>2</v>
      </c>
    </row>
    <row r="251" spans="1:10" ht="15" customHeight="1" x14ac:dyDescent="0.3">
      <c r="A251" s="18">
        <v>45997</v>
      </c>
      <c r="B251" t="s">
        <v>116</v>
      </c>
      <c r="C251" t="s">
        <v>112</v>
      </c>
      <c r="D251">
        <v>1698</v>
      </c>
      <c r="E251">
        <v>23</v>
      </c>
      <c r="F251">
        <v>11543</v>
      </c>
      <c r="G251">
        <v>1405</v>
      </c>
      <c r="H251">
        <v>8.31</v>
      </c>
      <c r="I251">
        <v>395</v>
      </c>
      <c r="J251">
        <v>0</v>
      </c>
    </row>
    <row r="252" spans="1:10" ht="15" customHeight="1" x14ac:dyDescent="0.3">
      <c r="A252" s="18">
        <v>45998</v>
      </c>
      <c r="B252" t="s">
        <v>117</v>
      </c>
      <c r="C252" t="s">
        <v>118</v>
      </c>
      <c r="D252">
        <v>0</v>
      </c>
      <c r="E252">
        <v>21.1</v>
      </c>
      <c r="F252">
        <v>2426</v>
      </c>
      <c r="G252">
        <v>1832</v>
      </c>
      <c r="H252">
        <v>1.75</v>
      </c>
      <c r="I252">
        <v>487</v>
      </c>
      <c r="J252">
        <v>2</v>
      </c>
    </row>
    <row r="253" spans="1:10" ht="15" customHeight="1" x14ac:dyDescent="0.3">
      <c r="A253" s="18">
        <v>45999</v>
      </c>
      <c r="B253" t="s">
        <v>119</v>
      </c>
      <c r="C253" t="s">
        <v>112</v>
      </c>
      <c r="D253">
        <v>1968</v>
      </c>
      <c r="E253">
        <v>23.5</v>
      </c>
      <c r="F253">
        <v>13043</v>
      </c>
      <c r="G253">
        <v>1625</v>
      </c>
      <c r="H253">
        <v>9.39</v>
      </c>
      <c r="I253">
        <v>427</v>
      </c>
      <c r="J253">
        <v>2</v>
      </c>
    </row>
    <row r="254" spans="1:10" ht="15" customHeight="1" x14ac:dyDescent="0.3">
      <c r="A254" s="18">
        <v>46000</v>
      </c>
      <c r="B254" t="s">
        <v>111</v>
      </c>
      <c r="C254" t="s">
        <v>112</v>
      </c>
      <c r="D254">
        <v>1859</v>
      </c>
      <c r="E254">
        <v>22.1</v>
      </c>
      <c r="F254">
        <v>11974</v>
      </c>
      <c r="G254">
        <v>1404</v>
      </c>
      <c r="H254">
        <v>8.6199999999999992</v>
      </c>
      <c r="I254">
        <v>399</v>
      </c>
      <c r="J254">
        <v>1</v>
      </c>
    </row>
    <row r="255" spans="1:10" ht="15" customHeight="1" x14ac:dyDescent="0.3">
      <c r="A255" s="18">
        <v>46001</v>
      </c>
      <c r="B255" t="s">
        <v>113</v>
      </c>
      <c r="C255" t="s">
        <v>112</v>
      </c>
      <c r="D255">
        <v>1781</v>
      </c>
      <c r="E255">
        <v>22.1</v>
      </c>
      <c r="F255">
        <v>12258</v>
      </c>
      <c r="G255">
        <v>1506</v>
      </c>
      <c r="H255">
        <v>8.83</v>
      </c>
      <c r="I255">
        <v>415</v>
      </c>
      <c r="J255">
        <v>0</v>
      </c>
    </row>
    <row r="256" spans="1:10" ht="15" customHeight="1" x14ac:dyDescent="0.3">
      <c r="A256" s="18">
        <v>46002</v>
      </c>
      <c r="B256" t="s">
        <v>114</v>
      </c>
      <c r="C256" t="s">
        <v>112</v>
      </c>
      <c r="D256">
        <v>1971</v>
      </c>
      <c r="E256">
        <v>25.1</v>
      </c>
      <c r="F256">
        <v>12898</v>
      </c>
      <c r="G256">
        <v>1516</v>
      </c>
      <c r="H256">
        <v>9.2899999999999991</v>
      </c>
      <c r="I256">
        <v>490</v>
      </c>
      <c r="J256">
        <v>2</v>
      </c>
    </row>
    <row r="257" spans="1:10" ht="15" customHeight="1" x14ac:dyDescent="0.3">
      <c r="A257" s="18">
        <v>46003</v>
      </c>
      <c r="B257" t="s">
        <v>115</v>
      </c>
      <c r="C257" t="s">
        <v>112</v>
      </c>
      <c r="D257">
        <v>1673</v>
      </c>
      <c r="E257">
        <v>23.4</v>
      </c>
      <c r="F257">
        <v>11849</v>
      </c>
      <c r="G257">
        <v>1577</v>
      </c>
      <c r="H257">
        <v>8.5299999999999994</v>
      </c>
      <c r="I257">
        <v>443</v>
      </c>
      <c r="J257">
        <v>1</v>
      </c>
    </row>
    <row r="258" spans="1:10" ht="15" customHeight="1" x14ac:dyDescent="0.3">
      <c r="A258" s="18">
        <v>46004</v>
      </c>
      <c r="B258" t="s">
        <v>116</v>
      </c>
      <c r="C258" t="s">
        <v>112</v>
      </c>
      <c r="D258">
        <v>1803</v>
      </c>
      <c r="E258">
        <v>22.1</v>
      </c>
      <c r="F258">
        <v>11604</v>
      </c>
      <c r="G258">
        <v>1698</v>
      </c>
      <c r="H258">
        <v>8.35</v>
      </c>
      <c r="I258">
        <v>488</v>
      </c>
      <c r="J258">
        <v>1</v>
      </c>
    </row>
    <row r="259" spans="1:10" ht="15" customHeight="1" x14ac:dyDescent="0.3">
      <c r="A259" s="18">
        <v>46005</v>
      </c>
      <c r="B259" t="s">
        <v>117</v>
      </c>
      <c r="C259" t="s">
        <v>118</v>
      </c>
      <c r="D259">
        <v>0</v>
      </c>
      <c r="E259">
        <v>22.1</v>
      </c>
      <c r="F259">
        <v>2502</v>
      </c>
      <c r="G259">
        <v>1980</v>
      </c>
      <c r="H259">
        <v>1.8</v>
      </c>
      <c r="I259">
        <v>458</v>
      </c>
      <c r="J259">
        <v>1</v>
      </c>
    </row>
    <row r="260" spans="1:10" ht="15" customHeight="1" x14ac:dyDescent="0.3">
      <c r="A260" s="18">
        <v>46006</v>
      </c>
      <c r="B260" t="s">
        <v>119</v>
      </c>
      <c r="C260" t="s">
        <v>112</v>
      </c>
      <c r="D260">
        <v>2125</v>
      </c>
      <c r="E260">
        <v>21.6</v>
      </c>
      <c r="F260">
        <v>13637</v>
      </c>
      <c r="G260">
        <v>1670</v>
      </c>
      <c r="H260">
        <v>9.82</v>
      </c>
      <c r="I260">
        <v>476</v>
      </c>
      <c r="J260">
        <v>2</v>
      </c>
    </row>
    <row r="261" spans="1:10" ht="15" customHeight="1" x14ac:dyDescent="0.3">
      <c r="A261" s="18">
        <v>46007</v>
      </c>
      <c r="B261" t="s">
        <v>111</v>
      </c>
      <c r="C261" t="s">
        <v>112</v>
      </c>
      <c r="D261">
        <v>1865</v>
      </c>
      <c r="E261">
        <v>20.5</v>
      </c>
      <c r="F261">
        <v>12298</v>
      </c>
      <c r="G261">
        <v>1562</v>
      </c>
      <c r="H261">
        <v>8.85</v>
      </c>
      <c r="I261">
        <v>388</v>
      </c>
      <c r="J261">
        <v>1</v>
      </c>
    </row>
    <row r="262" spans="1:10" ht="15" customHeight="1" x14ac:dyDescent="0.3">
      <c r="A262" s="18">
        <v>46008</v>
      </c>
      <c r="B262" t="s">
        <v>113</v>
      </c>
      <c r="C262" t="s">
        <v>112</v>
      </c>
      <c r="D262">
        <v>1597</v>
      </c>
      <c r="E262">
        <v>21.9</v>
      </c>
      <c r="F262">
        <v>10610</v>
      </c>
      <c r="G262">
        <v>1362</v>
      </c>
      <c r="H262">
        <v>7.64</v>
      </c>
      <c r="I262">
        <v>384</v>
      </c>
      <c r="J262">
        <v>2</v>
      </c>
    </row>
    <row r="263" spans="1:10" ht="15" customHeight="1" x14ac:dyDescent="0.3">
      <c r="A263" s="18">
        <v>46009</v>
      </c>
      <c r="B263" t="s">
        <v>114</v>
      </c>
      <c r="C263" t="s">
        <v>112</v>
      </c>
      <c r="D263">
        <v>1929</v>
      </c>
      <c r="E263">
        <v>23.9</v>
      </c>
      <c r="F263">
        <v>12345</v>
      </c>
      <c r="G263">
        <v>1478</v>
      </c>
      <c r="H263">
        <v>8.89</v>
      </c>
      <c r="I263">
        <v>443</v>
      </c>
      <c r="J263">
        <v>0</v>
      </c>
    </row>
    <row r="264" spans="1:10" ht="15" customHeight="1" x14ac:dyDescent="0.3">
      <c r="A264" s="18">
        <v>46010</v>
      </c>
      <c r="B264" t="s">
        <v>115</v>
      </c>
      <c r="C264" t="s">
        <v>112</v>
      </c>
      <c r="D264">
        <v>1492</v>
      </c>
      <c r="E264">
        <v>21.7</v>
      </c>
      <c r="F264">
        <v>9880</v>
      </c>
      <c r="G264">
        <v>1667</v>
      </c>
      <c r="H264">
        <v>7.11</v>
      </c>
      <c r="I264">
        <v>478</v>
      </c>
      <c r="J264">
        <v>0</v>
      </c>
    </row>
    <row r="265" spans="1:10" ht="15" customHeight="1" x14ac:dyDescent="0.3">
      <c r="A265" s="18">
        <v>46011</v>
      </c>
      <c r="B265" t="s">
        <v>116</v>
      </c>
      <c r="C265" t="s">
        <v>112</v>
      </c>
      <c r="D265">
        <v>1755</v>
      </c>
      <c r="E265">
        <v>22.3</v>
      </c>
      <c r="F265">
        <v>11773</v>
      </c>
      <c r="G265">
        <v>1068</v>
      </c>
      <c r="H265">
        <v>8.48</v>
      </c>
      <c r="I265">
        <v>382</v>
      </c>
      <c r="J265">
        <v>0</v>
      </c>
    </row>
    <row r="266" spans="1:10" ht="15" customHeight="1" x14ac:dyDescent="0.3">
      <c r="A266" s="18">
        <v>46012</v>
      </c>
      <c r="B266" t="s">
        <v>117</v>
      </c>
      <c r="C266" t="s">
        <v>118</v>
      </c>
      <c r="D266">
        <v>0</v>
      </c>
      <c r="E266">
        <v>19.899999999999999</v>
      </c>
      <c r="F266">
        <v>2420</v>
      </c>
      <c r="G266">
        <v>1551</v>
      </c>
      <c r="H266">
        <v>1.74</v>
      </c>
      <c r="I266">
        <v>390</v>
      </c>
      <c r="J266">
        <v>0</v>
      </c>
    </row>
    <row r="267" spans="1:10" ht="15" customHeight="1" x14ac:dyDescent="0.3">
      <c r="A267" s="18">
        <v>46013</v>
      </c>
      <c r="B267" t="s">
        <v>119</v>
      </c>
      <c r="C267" t="s">
        <v>112</v>
      </c>
      <c r="D267">
        <v>1607</v>
      </c>
      <c r="E267">
        <v>22.8</v>
      </c>
      <c r="F267">
        <v>10786</v>
      </c>
      <c r="G267">
        <v>1455</v>
      </c>
      <c r="H267">
        <v>7.77</v>
      </c>
      <c r="I267">
        <v>466</v>
      </c>
      <c r="J267">
        <v>1</v>
      </c>
    </row>
    <row r="268" spans="1:10" ht="15" customHeight="1" x14ac:dyDescent="0.3">
      <c r="A268" s="18">
        <v>46014</v>
      </c>
      <c r="B268" t="s">
        <v>111</v>
      </c>
      <c r="C268" t="s">
        <v>112</v>
      </c>
      <c r="D268">
        <v>1713</v>
      </c>
      <c r="E268">
        <v>21</v>
      </c>
      <c r="F268">
        <v>11939</v>
      </c>
      <c r="G268">
        <v>1605</v>
      </c>
      <c r="H268">
        <v>8.6</v>
      </c>
      <c r="I268">
        <v>493</v>
      </c>
      <c r="J268">
        <v>2</v>
      </c>
    </row>
    <row r="269" spans="1:10" ht="15" customHeight="1" x14ac:dyDescent="0.3">
      <c r="A269" s="18">
        <v>46015</v>
      </c>
      <c r="B269" t="s">
        <v>113</v>
      </c>
      <c r="C269" t="s">
        <v>112</v>
      </c>
      <c r="D269">
        <v>1833</v>
      </c>
      <c r="E269">
        <v>24.4</v>
      </c>
      <c r="F269">
        <v>12310</v>
      </c>
      <c r="G269">
        <v>1380</v>
      </c>
      <c r="H269">
        <v>8.86</v>
      </c>
      <c r="I269">
        <v>383</v>
      </c>
      <c r="J269">
        <v>1</v>
      </c>
    </row>
    <row r="270" spans="1:10" ht="15" customHeight="1" x14ac:dyDescent="0.3">
      <c r="A270" s="18">
        <v>46016</v>
      </c>
      <c r="B270" t="s">
        <v>114</v>
      </c>
      <c r="C270" t="s">
        <v>112</v>
      </c>
      <c r="D270">
        <v>1891</v>
      </c>
      <c r="E270">
        <v>20.8</v>
      </c>
      <c r="F270">
        <v>12044</v>
      </c>
      <c r="G270">
        <v>1469</v>
      </c>
      <c r="H270">
        <v>8.67</v>
      </c>
      <c r="I270">
        <v>437</v>
      </c>
      <c r="J270">
        <v>0</v>
      </c>
    </row>
    <row r="271" spans="1:10" ht="15" customHeight="1" x14ac:dyDescent="0.3">
      <c r="A271" s="18">
        <v>46017</v>
      </c>
      <c r="B271" t="s">
        <v>115</v>
      </c>
      <c r="C271" t="s">
        <v>112</v>
      </c>
      <c r="D271">
        <v>1662</v>
      </c>
      <c r="E271">
        <v>22.2</v>
      </c>
      <c r="F271">
        <v>11300</v>
      </c>
      <c r="G271">
        <v>1328</v>
      </c>
      <c r="H271">
        <v>8.14</v>
      </c>
      <c r="I271">
        <v>381</v>
      </c>
      <c r="J271">
        <v>1</v>
      </c>
    </row>
    <row r="272" spans="1:10" ht="15" customHeight="1" x14ac:dyDescent="0.3">
      <c r="A272" s="18">
        <v>46018</v>
      </c>
      <c r="B272" t="s">
        <v>116</v>
      </c>
      <c r="C272" t="s">
        <v>112</v>
      </c>
      <c r="D272">
        <v>1582</v>
      </c>
      <c r="E272">
        <v>23.6</v>
      </c>
      <c r="F272">
        <v>10650</v>
      </c>
      <c r="G272">
        <v>1326</v>
      </c>
      <c r="H272">
        <v>7.67</v>
      </c>
      <c r="I272">
        <v>490</v>
      </c>
      <c r="J272">
        <v>0</v>
      </c>
    </row>
    <row r="273" spans="1:10" ht="15" customHeight="1" x14ac:dyDescent="0.3">
      <c r="A273" s="18">
        <v>46019</v>
      </c>
      <c r="B273" t="s">
        <v>117</v>
      </c>
      <c r="C273" t="s">
        <v>118</v>
      </c>
      <c r="D273">
        <v>0</v>
      </c>
      <c r="E273">
        <v>22.7</v>
      </c>
      <c r="F273">
        <v>2748</v>
      </c>
      <c r="G273">
        <v>1809</v>
      </c>
      <c r="H273">
        <v>1.98</v>
      </c>
      <c r="I273">
        <v>426</v>
      </c>
      <c r="J273">
        <v>0</v>
      </c>
    </row>
    <row r="274" spans="1:10" ht="15" customHeight="1" x14ac:dyDescent="0.3">
      <c r="A274" s="18">
        <v>46020</v>
      </c>
      <c r="B274" t="s">
        <v>119</v>
      </c>
      <c r="C274" t="s">
        <v>112</v>
      </c>
      <c r="D274">
        <v>1753</v>
      </c>
      <c r="E274">
        <v>19.100000000000001</v>
      </c>
      <c r="F274">
        <v>11508</v>
      </c>
      <c r="G274">
        <v>1452</v>
      </c>
      <c r="H274">
        <v>8.2899999999999991</v>
      </c>
      <c r="I274">
        <v>446</v>
      </c>
      <c r="J274">
        <v>2</v>
      </c>
    </row>
    <row r="275" spans="1:10" ht="15" customHeight="1" x14ac:dyDescent="0.3">
      <c r="A275" s="18">
        <v>46021</v>
      </c>
      <c r="B275" t="s">
        <v>111</v>
      </c>
      <c r="C275" t="s">
        <v>112</v>
      </c>
      <c r="D275">
        <v>1891</v>
      </c>
      <c r="E275">
        <v>20.9</v>
      </c>
      <c r="F275">
        <v>12451</v>
      </c>
      <c r="G275">
        <v>1632</v>
      </c>
      <c r="H275">
        <v>8.9600000000000009</v>
      </c>
      <c r="I275">
        <v>466</v>
      </c>
      <c r="J275">
        <v>2</v>
      </c>
    </row>
    <row r="276" spans="1:10" ht="15" customHeight="1" x14ac:dyDescent="0.3">
      <c r="A276" s="18">
        <v>46022</v>
      </c>
      <c r="B276" t="s">
        <v>113</v>
      </c>
      <c r="C276" t="s">
        <v>112</v>
      </c>
      <c r="D276">
        <v>1922</v>
      </c>
      <c r="E276">
        <v>19.100000000000001</v>
      </c>
      <c r="F276">
        <v>12940</v>
      </c>
      <c r="G276">
        <v>1735</v>
      </c>
      <c r="H276">
        <v>9.32</v>
      </c>
      <c r="I276">
        <v>453</v>
      </c>
      <c r="J276">
        <v>2</v>
      </c>
    </row>
    <row r="277" spans="1:10" ht="15" customHeight="1" x14ac:dyDescent="0.3">
      <c r="A277" s="18">
        <v>46023</v>
      </c>
      <c r="B277" t="s">
        <v>114</v>
      </c>
      <c r="C277" t="s">
        <v>112</v>
      </c>
      <c r="D277">
        <v>1902</v>
      </c>
      <c r="E277">
        <v>25</v>
      </c>
      <c r="F277">
        <v>12120</v>
      </c>
      <c r="G277">
        <v>1600</v>
      </c>
      <c r="H277">
        <v>8.73</v>
      </c>
      <c r="I277">
        <v>450</v>
      </c>
      <c r="J277">
        <v>1</v>
      </c>
    </row>
    <row r="278" spans="1:10" ht="15" customHeight="1" x14ac:dyDescent="0.3">
      <c r="A278" s="18">
        <v>46024</v>
      </c>
      <c r="B278" t="s">
        <v>115</v>
      </c>
      <c r="C278" t="s">
        <v>112</v>
      </c>
      <c r="D278">
        <v>1881</v>
      </c>
      <c r="E278">
        <v>19.7</v>
      </c>
      <c r="F278">
        <v>11795</v>
      </c>
      <c r="G278">
        <v>1486</v>
      </c>
      <c r="H278">
        <v>8.49</v>
      </c>
      <c r="I278">
        <v>408</v>
      </c>
      <c r="J278">
        <v>0</v>
      </c>
    </row>
    <row r="279" spans="1:10" ht="15" customHeight="1" x14ac:dyDescent="0.3">
      <c r="A279" s="18">
        <v>46025</v>
      </c>
      <c r="B279" t="s">
        <v>116</v>
      </c>
      <c r="C279" t="s">
        <v>112</v>
      </c>
      <c r="D279">
        <v>1710</v>
      </c>
      <c r="E279">
        <v>21.5</v>
      </c>
      <c r="F279">
        <v>11134</v>
      </c>
      <c r="G279">
        <v>1440</v>
      </c>
      <c r="H279">
        <v>8.02</v>
      </c>
      <c r="I279">
        <v>506</v>
      </c>
      <c r="J279">
        <v>2</v>
      </c>
    </row>
    <row r="280" spans="1:10" ht="15" customHeight="1" x14ac:dyDescent="0.3">
      <c r="A280" s="18">
        <v>46026</v>
      </c>
      <c r="B280" t="s">
        <v>117</v>
      </c>
      <c r="C280" t="s">
        <v>118</v>
      </c>
      <c r="D280">
        <v>0</v>
      </c>
      <c r="E280">
        <v>20.5</v>
      </c>
      <c r="F280">
        <v>2650</v>
      </c>
      <c r="G280">
        <v>1596</v>
      </c>
      <c r="H280">
        <v>1.91</v>
      </c>
      <c r="I280">
        <v>459</v>
      </c>
      <c r="J280">
        <v>1</v>
      </c>
    </row>
    <row r="281" spans="1:10" ht="15" customHeight="1" x14ac:dyDescent="0.3">
      <c r="A281" s="18">
        <v>46027</v>
      </c>
      <c r="B281" t="s">
        <v>119</v>
      </c>
      <c r="C281" t="s">
        <v>112</v>
      </c>
      <c r="D281">
        <v>1903</v>
      </c>
      <c r="E281">
        <v>24</v>
      </c>
      <c r="F281">
        <v>12021</v>
      </c>
      <c r="G281">
        <v>1437</v>
      </c>
      <c r="H281">
        <v>8.65</v>
      </c>
      <c r="I281">
        <v>409</v>
      </c>
      <c r="J281">
        <v>0</v>
      </c>
    </row>
    <row r="282" spans="1:10" ht="15" customHeight="1" x14ac:dyDescent="0.3">
      <c r="A282" s="18">
        <v>46028</v>
      </c>
      <c r="B282" t="s">
        <v>111</v>
      </c>
      <c r="C282" t="s">
        <v>112</v>
      </c>
      <c r="D282">
        <v>1628</v>
      </c>
      <c r="E282">
        <v>19.2</v>
      </c>
      <c r="F282">
        <v>10484</v>
      </c>
      <c r="G282">
        <v>1480</v>
      </c>
      <c r="H282">
        <v>7.55</v>
      </c>
      <c r="I282">
        <v>480</v>
      </c>
      <c r="J282">
        <v>1</v>
      </c>
    </row>
    <row r="283" spans="1:10" ht="15" customHeight="1" x14ac:dyDescent="0.3">
      <c r="A283" s="18">
        <v>46029</v>
      </c>
      <c r="B283" t="s">
        <v>113</v>
      </c>
      <c r="C283" t="s">
        <v>112</v>
      </c>
      <c r="D283">
        <v>2028</v>
      </c>
      <c r="E283">
        <v>23</v>
      </c>
      <c r="F283">
        <v>12869</v>
      </c>
      <c r="G283">
        <v>1744</v>
      </c>
      <c r="H283">
        <v>9.27</v>
      </c>
      <c r="I283">
        <v>446</v>
      </c>
      <c r="J283">
        <v>1</v>
      </c>
    </row>
    <row r="284" spans="1:10" ht="15" customHeight="1" x14ac:dyDescent="0.3">
      <c r="A284" s="18">
        <v>46030</v>
      </c>
      <c r="B284" t="s">
        <v>114</v>
      </c>
      <c r="C284" t="s">
        <v>112</v>
      </c>
      <c r="D284">
        <v>1975</v>
      </c>
      <c r="E284">
        <v>22</v>
      </c>
      <c r="F284">
        <v>12480</v>
      </c>
      <c r="G284">
        <v>1856</v>
      </c>
      <c r="H284">
        <v>8.99</v>
      </c>
      <c r="I284">
        <v>474</v>
      </c>
      <c r="J284">
        <v>1</v>
      </c>
    </row>
    <row r="285" spans="1:10" ht="15" customHeight="1" x14ac:dyDescent="0.3">
      <c r="A285" s="18">
        <v>46031</v>
      </c>
      <c r="B285" t="s">
        <v>115</v>
      </c>
      <c r="C285" t="s">
        <v>112</v>
      </c>
      <c r="D285">
        <v>1740</v>
      </c>
      <c r="E285">
        <v>19.100000000000001</v>
      </c>
      <c r="F285">
        <v>11447</v>
      </c>
      <c r="G285">
        <v>1493</v>
      </c>
      <c r="H285">
        <v>8.24</v>
      </c>
      <c r="I285">
        <v>382</v>
      </c>
      <c r="J285">
        <v>2</v>
      </c>
    </row>
    <row r="286" spans="1:10" ht="15" customHeight="1" x14ac:dyDescent="0.3">
      <c r="A286" s="18">
        <v>46032</v>
      </c>
      <c r="B286" t="s">
        <v>116</v>
      </c>
      <c r="C286" t="s">
        <v>112</v>
      </c>
      <c r="D286">
        <v>1844</v>
      </c>
      <c r="E286">
        <v>22.4</v>
      </c>
      <c r="F286">
        <v>12094</v>
      </c>
      <c r="G286">
        <v>1523</v>
      </c>
      <c r="H286">
        <v>8.7100000000000009</v>
      </c>
      <c r="I286">
        <v>441</v>
      </c>
      <c r="J286">
        <v>0</v>
      </c>
    </row>
    <row r="287" spans="1:10" ht="15" customHeight="1" x14ac:dyDescent="0.3">
      <c r="A287" s="18">
        <v>46033</v>
      </c>
      <c r="B287" t="s">
        <v>117</v>
      </c>
      <c r="C287" t="s">
        <v>118</v>
      </c>
      <c r="D287">
        <v>0</v>
      </c>
      <c r="E287">
        <v>21.8</v>
      </c>
      <c r="F287">
        <v>2197</v>
      </c>
      <c r="G287">
        <v>1577</v>
      </c>
      <c r="H287">
        <v>1.58</v>
      </c>
      <c r="I287">
        <v>481</v>
      </c>
      <c r="J287">
        <v>1</v>
      </c>
    </row>
    <row r="288" spans="1:10" ht="15" customHeight="1" x14ac:dyDescent="0.3">
      <c r="A288" s="18">
        <v>46034</v>
      </c>
      <c r="B288" t="s">
        <v>119</v>
      </c>
      <c r="C288" t="s">
        <v>112</v>
      </c>
      <c r="D288">
        <v>1921</v>
      </c>
      <c r="E288">
        <v>21.3</v>
      </c>
      <c r="F288">
        <v>12687</v>
      </c>
      <c r="G288">
        <v>1471</v>
      </c>
      <c r="H288">
        <v>9.1300000000000008</v>
      </c>
      <c r="I288">
        <v>457</v>
      </c>
      <c r="J288">
        <v>0</v>
      </c>
    </row>
    <row r="289" spans="1:10" ht="15" customHeight="1" x14ac:dyDescent="0.3">
      <c r="A289" s="18">
        <v>46035</v>
      </c>
      <c r="B289" t="s">
        <v>111</v>
      </c>
      <c r="C289" t="s">
        <v>112</v>
      </c>
      <c r="D289">
        <v>1949</v>
      </c>
      <c r="E289">
        <v>19</v>
      </c>
      <c r="F289">
        <v>12322</v>
      </c>
      <c r="G289">
        <v>1299</v>
      </c>
      <c r="H289">
        <v>8.8699999999999992</v>
      </c>
      <c r="I289">
        <v>484</v>
      </c>
      <c r="J289">
        <v>0</v>
      </c>
    </row>
    <row r="290" spans="1:10" ht="15" customHeight="1" x14ac:dyDescent="0.3">
      <c r="A290" s="18">
        <v>46036</v>
      </c>
      <c r="B290" t="s">
        <v>113</v>
      </c>
      <c r="C290" t="s">
        <v>112</v>
      </c>
      <c r="D290">
        <v>1829</v>
      </c>
      <c r="E290">
        <v>21.7</v>
      </c>
      <c r="F290">
        <v>11871</v>
      </c>
      <c r="G290">
        <v>1452</v>
      </c>
      <c r="H290">
        <v>8.5500000000000007</v>
      </c>
      <c r="I290">
        <v>421</v>
      </c>
      <c r="J290">
        <v>1</v>
      </c>
    </row>
    <row r="291" spans="1:10" ht="15" customHeight="1" x14ac:dyDescent="0.3">
      <c r="A291" s="18">
        <v>46037</v>
      </c>
      <c r="B291" t="s">
        <v>114</v>
      </c>
      <c r="C291" t="s">
        <v>112</v>
      </c>
      <c r="D291">
        <v>1584</v>
      </c>
      <c r="E291">
        <v>21.7</v>
      </c>
      <c r="F291">
        <v>10149</v>
      </c>
      <c r="G291">
        <v>1346</v>
      </c>
      <c r="H291">
        <v>7.31</v>
      </c>
      <c r="I291">
        <v>392</v>
      </c>
      <c r="J291">
        <v>2</v>
      </c>
    </row>
    <row r="292" spans="1:10" ht="15" customHeight="1" x14ac:dyDescent="0.3">
      <c r="A292" s="18">
        <v>46038</v>
      </c>
      <c r="B292" t="s">
        <v>115</v>
      </c>
      <c r="C292" t="s">
        <v>112</v>
      </c>
      <c r="D292">
        <v>1668</v>
      </c>
      <c r="E292">
        <v>20.7</v>
      </c>
      <c r="F292">
        <v>11572</v>
      </c>
      <c r="G292">
        <v>1738</v>
      </c>
      <c r="H292">
        <v>8.33</v>
      </c>
      <c r="I292">
        <v>481</v>
      </c>
      <c r="J292">
        <v>0</v>
      </c>
    </row>
    <row r="293" spans="1:10" ht="15" customHeight="1" x14ac:dyDescent="0.3">
      <c r="A293" s="18">
        <v>46039</v>
      </c>
      <c r="B293" t="s">
        <v>116</v>
      </c>
      <c r="C293" t="s">
        <v>112</v>
      </c>
      <c r="D293">
        <v>1435</v>
      </c>
      <c r="E293">
        <v>20.3</v>
      </c>
      <c r="F293">
        <v>10070</v>
      </c>
      <c r="G293">
        <v>1723</v>
      </c>
      <c r="H293">
        <v>7.25</v>
      </c>
      <c r="I293">
        <v>515</v>
      </c>
      <c r="J293">
        <v>2</v>
      </c>
    </row>
    <row r="294" spans="1:10" ht="15" customHeight="1" x14ac:dyDescent="0.3">
      <c r="A294" s="18">
        <v>46040</v>
      </c>
      <c r="B294" t="s">
        <v>117</v>
      </c>
      <c r="C294" t="s">
        <v>118</v>
      </c>
      <c r="D294">
        <v>0</v>
      </c>
      <c r="E294">
        <v>22.6</v>
      </c>
      <c r="F294">
        <v>2551</v>
      </c>
      <c r="G294">
        <v>1724</v>
      </c>
      <c r="H294">
        <v>1.84</v>
      </c>
      <c r="I294">
        <v>469</v>
      </c>
      <c r="J294">
        <v>0</v>
      </c>
    </row>
    <row r="295" spans="1:10" ht="15" customHeight="1" x14ac:dyDescent="0.3">
      <c r="A295" s="18">
        <v>46041</v>
      </c>
      <c r="B295" t="s">
        <v>119</v>
      </c>
      <c r="C295" t="s">
        <v>112</v>
      </c>
      <c r="D295">
        <v>1835</v>
      </c>
      <c r="E295">
        <v>21</v>
      </c>
      <c r="F295">
        <v>11706</v>
      </c>
      <c r="G295">
        <v>1400</v>
      </c>
      <c r="H295">
        <v>8.43</v>
      </c>
      <c r="I295">
        <v>508</v>
      </c>
      <c r="J295">
        <v>2</v>
      </c>
    </row>
    <row r="296" spans="1:10" ht="15" customHeight="1" x14ac:dyDescent="0.3">
      <c r="A296" s="18">
        <v>46042</v>
      </c>
      <c r="B296" t="s">
        <v>111</v>
      </c>
      <c r="C296" t="s">
        <v>112</v>
      </c>
      <c r="D296">
        <v>1639</v>
      </c>
      <c r="E296">
        <v>20</v>
      </c>
      <c r="F296">
        <v>10844</v>
      </c>
      <c r="G296">
        <v>1378</v>
      </c>
      <c r="H296">
        <v>7.81</v>
      </c>
      <c r="I296">
        <v>494</v>
      </c>
      <c r="J296">
        <v>2</v>
      </c>
    </row>
    <row r="297" spans="1:10" ht="15" customHeight="1" x14ac:dyDescent="0.3">
      <c r="A297" s="18">
        <v>46043</v>
      </c>
      <c r="B297" t="s">
        <v>113</v>
      </c>
      <c r="C297" t="s">
        <v>112</v>
      </c>
      <c r="D297">
        <v>1763</v>
      </c>
      <c r="E297">
        <v>23.4</v>
      </c>
      <c r="F297">
        <v>11455</v>
      </c>
      <c r="G297">
        <v>1604</v>
      </c>
      <c r="H297">
        <v>8.25</v>
      </c>
      <c r="I297">
        <v>487</v>
      </c>
      <c r="J297">
        <v>0</v>
      </c>
    </row>
    <row r="298" spans="1:10" ht="15" customHeight="1" x14ac:dyDescent="0.3">
      <c r="A298" s="18">
        <v>46044</v>
      </c>
      <c r="B298" t="s">
        <v>114</v>
      </c>
      <c r="C298" t="s">
        <v>112</v>
      </c>
      <c r="D298">
        <v>1949</v>
      </c>
      <c r="E298">
        <v>22.5</v>
      </c>
      <c r="F298">
        <v>12494</v>
      </c>
      <c r="G298">
        <v>1663</v>
      </c>
      <c r="H298">
        <v>9</v>
      </c>
      <c r="I298">
        <v>428</v>
      </c>
      <c r="J298">
        <v>0</v>
      </c>
    </row>
    <row r="299" spans="1:10" ht="15" customHeight="1" x14ac:dyDescent="0.3">
      <c r="A299" s="18">
        <v>46045</v>
      </c>
      <c r="B299" t="s">
        <v>115</v>
      </c>
      <c r="C299" t="s">
        <v>112</v>
      </c>
      <c r="D299">
        <v>1836</v>
      </c>
      <c r="E299">
        <v>19.399999999999999</v>
      </c>
      <c r="F299">
        <v>11895</v>
      </c>
      <c r="G299">
        <v>1126</v>
      </c>
      <c r="H299">
        <v>8.56</v>
      </c>
      <c r="I299">
        <v>491</v>
      </c>
      <c r="J299">
        <v>1</v>
      </c>
    </row>
    <row r="300" spans="1:10" ht="15" customHeight="1" x14ac:dyDescent="0.3">
      <c r="A300" s="18">
        <v>46046</v>
      </c>
      <c r="B300" t="s">
        <v>116</v>
      </c>
      <c r="C300" t="s">
        <v>112</v>
      </c>
      <c r="D300">
        <v>1781</v>
      </c>
      <c r="E300">
        <v>18.100000000000001</v>
      </c>
      <c r="F300">
        <v>11512</v>
      </c>
      <c r="G300">
        <v>1729</v>
      </c>
      <c r="H300">
        <v>8.2899999999999991</v>
      </c>
      <c r="I300">
        <v>449</v>
      </c>
      <c r="J300">
        <v>2</v>
      </c>
    </row>
    <row r="301" spans="1:10" ht="15" customHeight="1" x14ac:dyDescent="0.3">
      <c r="A301" s="18">
        <v>46047</v>
      </c>
      <c r="B301" t="s">
        <v>117</v>
      </c>
      <c r="C301" t="s">
        <v>118</v>
      </c>
      <c r="D301">
        <v>0</v>
      </c>
      <c r="E301">
        <v>21.5</v>
      </c>
      <c r="F301">
        <v>2640</v>
      </c>
      <c r="G301">
        <v>1600</v>
      </c>
      <c r="H301">
        <v>1.9</v>
      </c>
      <c r="I301">
        <v>433</v>
      </c>
      <c r="J301">
        <v>1</v>
      </c>
    </row>
    <row r="302" spans="1:10" ht="15" customHeight="1" x14ac:dyDescent="0.3">
      <c r="A302" s="18">
        <v>46048</v>
      </c>
      <c r="B302" t="s">
        <v>119</v>
      </c>
      <c r="C302" t="s">
        <v>112</v>
      </c>
      <c r="D302">
        <v>1739</v>
      </c>
      <c r="E302">
        <v>21.3</v>
      </c>
      <c r="F302">
        <v>10922</v>
      </c>
      <c r="G302">
        <v>1707</v>
      </c>
      <c r="H302">
        <v>7.86</v>
      </c>
      <c r="I302">
        <v>457</v>
      </c>
      <c r="J302">
        <v>0</v>
      </c>
    </row>
    <row r="303" spans="1:10" ht="15" customHeight="1" x14ac:dyDescent="0.3">
      <c r="A303" s="18">
        <v>46049</v>
      </c>
      <c r="B303" t="s">
        <v>111</v>
      </c>
      <c r="C303" t="s">
        <v>112</v>
      </c>
      <c r="D303">
        <v>1811</v>
      </c>
      <c r="E303">
        <v>18.5</v>
      </c>
      <c r="F303">
        <v>12373</v>
      </c>
      <c r="G303">
        <v>1648</v>
      </c>
      <c r="H303">
        <v>8.91</v>
      </c>
      <c r="I303">
        <v>499</v>
      </c>
      <c r="J303">
        <v>2</v>
      </c>
    </row>
    <row r="304" spans="1:10" ht="15" customHeight="1" x14ac:dyDescent="0.3">
      <c r="A304" s="18">
        <v>46050</v>
      </c>
      <c r="B304" t="s">
        <v>113</v>
      </c>
      <c r="C304" t="s">
        <v>112</v>
      </c>
      <c r="D304">
        <v>1805</v>
      </c>
      <c r="E304">
        <v>18.8</v>
      </c>
      <c r="F304">
        <v>11942</v>
      </c>
      <c r="G304">
        <v>1680</v>
      </c>
      <c r="H304">
        <v>8.6</v>
      </c>
      <c r="I304">
        <v>510</v>
      </c>
      <c r="J304">
        <v>2</v>
      </c>
    </row>
    <row r="305" spans="1:10" ht="15" customHeight="1" x14ac:dyDescent="0.3">
      <c r="A305" s="18">
        <v>46051</v>
      </c>
      <c r="B305" t="s">
        <v>114</v>
      </c>
      <c r="C305" t="s">
        <v>112</v>
      </c>
      <c r="D305">
        <v>1876</v>
      </c>
      <c r="E305">
        <v>19.899999999999999</v>
      </c>
      <c r="F305">
        <v>12152</v>
      </c>
      <c r="G305">
        <v>1990</v>
      </c>
      <c r="H305">
        <v>8.75</v>
      </c>
      <c r="I305">
        <v>397</v>
      </c>
      <c r="J305">
        <v>2</v>
      </c>
    </row>
    <row r="306" spans="1:10" ht="15" customHeight="1" x14ac:dyDescent="0.3">
      <c r="A306" s="18">
        <v>46052</v>
      </c>
      <c r="B306" t="s">
        <v>115</v>
      </c>
      <c r="C306" t="s">
        <v>112</v>
      </c>
      <c r="D306">
        <v>1742</v>
      </c>
      <c r="E306">
        <v>22.4</v>
      </c>
      <c r="F306">
        <v>11928</v>
      </c>
      <c r="G306">
        <v>1249</v>
      </c>
      <c r="H306">
        <v>8.59</v>
      </c>
      <c r="I306">
        <v>445</v>
      </c>
      <c r="J306">
        <v>0</v>
      </c>
    </row>
    <row r="307" spans="1:10" ht="15" customHeight="1" x14ac:dyDescent="0.3">
      <c r="A307" s="18">
        <v>46053</v>
      </c>
      <c r="B307" t="s">
        <v>116</v>
      </c>
      <c r="C307" t="s">
        <v>112</v>
      </c>
      <c r="D307">
        <v>1495</v>
      </c>
      <c r="E307">
        <v>21.4</v>
      </c>
      <c r="F307">
        <v>9755</v>
      </c>
      <c r="G307">
        <v>1422</v>
      </c>
      <c r="H307">
        <v>7.02</v>
      </c>
      <c r="I307">
        <v>478</v>
      </c>
      <c r="J307">
        <v>1</v>
      </c>
    </row>
    <row r="308" spans="1:10" ht="15" customHeight="1" x14ac:dyDescent="0.3">
      <c r="A308" s="18">
        <v>46054</v>
      </c>
      <c r="B308" t="s">
        <v>117</v>
      </c>
      <c r="C308" t="s">
        <v>118</v>
      </c>
      <c r="D308">
        <v>0</v>
      </c>
      <c r="E308">
        <v>19.8</v>
      </c>
      <c r="F308">
        <v>2288</v>
      </c>
      <c r="G308">
        <v>1523</v>
      </c>
      <c r="H308">
        <v>1.65</v>
      </c>
      <c r="I308">
        <v>460</v>
      </c>
      <c r="J308">
        <v>0</v>
      </c>
    </row>
    <row r="309" spans="1:10" ht="15" customHeight="1" x14ac:dyDescent="0.3">
      <c r="A309" s="18">
        <v>46055</v>
      </c>
      <c r="B309" t="s">
        <v>119</v>
      </c>
      <c r="C309" t="s">
        <v>112</v>
      </c>
      <c r="D309">
        <v>1802</v>
      </c>
      <c r="E309">
        <v>20.7</v>
      </c>
      <c r="F309">
        <v>11565</v>
      </c>
      <c r="G309">
        <v>1861</v>
      </c>
      <c r="H309">
        <v>8.33</v>
      </c>
      <c r="I309">
        <v>480</v>
      </c>
      <c r="J309">
        <v>2</v>
      </c>
    </row>
    <row r="310" spans="1:10" ht="15" customHeight="1" x14ac:dyDescent="0.3">
      <c r="A310" s="18">
        <v>46056</v>
      </c>
      <c r="B310" t="s">
        <v>111</v>
      </c>
      <c r="C310" t="s">
        <v>112</v>
      </c>
      <c r="D310">
        <v>1539</v>
      </c>
      <c r="E310">
        <v>19.7</v>
      </c>
      <c r="F310">
        <v>9882</v>
      </c>
      <c r="G310">
        <v>1408</v>
      </c>
      <c r="H310">
        <v>7.11</v>
      </c>
      <c r="I310">
        <v>505</v>
      </c>
      <c r="J310">
        <v>0</v>
      </c>
    </row>
    <row r="311" spans="1:10" ht="15" customHeight="1" x14ac:dyDescent="0.3">
      <c r="A311" s="18">
        <v>46057</v>
      </c>
      <c r="B311" t="s">
        <v>113</v>
      </c>
      <c r="C311" t="s">
        <v>112</v>
      </c>
      <c r="D311">
        <v>1631</v>
      </c>
      <c r="E311">
        <v>22.2</v>
      </c>
      <c r="F311">
        <v>11349</v>
      </c>
      <c r="G311">
        <v>1539</v>
      </c>
      <c r="H311">
        <v>8.17</v>
      </c>
      <c r="I311">
        <v>405</v>
      </c>
      <c r="J311">
        <v>1</v>
      </c>
    </row>
    <row r="312" spans="1:10" ht="15" customHeight="1" x14ac:dyDescent="0.3">
      <c r="A312" s="18">
        <v>46058</v>
      </c>
      <c r="B312" t="s">
        <v>114</v>
      </c>
      <c r="C312" t="s">
        <v>112</v>
      </c>
      <c r="D312">
        <v>1887</v>
      </c>
      <c r="E312">
        <v>19.100000000000001</v>
      </c>
      <c r="F312">
        <v>12041</v>
      </c>
      <c r="G312">
        <v>1837</v>
      </c>
      <c r="H312">
        <v>8.67</v>
      </c>
      <c r="I312">
        <v>385</v>
      </c>
      <c r="J312">
        <v>2</v>
      </c>
    </row>
    <row r="313" spans="1:10" ht="15" customHeight="1" x14ac:dyDescent="0.3">
      <c r="A313" s="18">
        <v>46059</v>
      </c>
      <c r="B313" t="s">
        <v>115</v>
      </c>
      <c r="C313" t="s">
        <v>112</v>
      </c>
      <c r="D313">
        <v>1821</v>
      </c>
      <c r="E313">
        <v>21.3</v>
      </c>
      <c r="F313">
        <v>12455</v>
      </c>
      <c r="G313">
        <v>1868</v>
      </c>
      <c r="H313">
        <v>8.9700000000000006</v>
      </c>
      <c r="I313">
        <v>452</v>
      </c>
      <c r="J313">
        <v>2</v>
      </c>
    </row>
    <row r="314" spans="1:10" ht="15" customHeight="1" x14ac:dyDescent="0.3">
      <c r="A314" s="18">
        <v>46060</v>
      </c>
      <c r="B314" t="s">
        <v>116</v>
      </c>
      <c r="C314" t="s">
        <v>112</v>
      </c>
      <c r="D314">
        <v>1902</v>
      </c>
      <c r="E314">
        <v>20.8</v>
      </c>
      <c r="F314">
        <v>12453</v>
      </c>
      <c r="G314">
        <v>1556</v>
      </c>
      <c r="H314">
        <v>8.9700000000000006</v>
      </c>
      <c r="I314">
        <v>509</v>
      </c>
      <c r="J314">
        <v>1</v>
      </c>
    </row>
    <row r="315" spans="1:10" ht="15" customHeight="1" x14ac:dyDescent="0.3">
      <c r="A315" s="18">
        <v>46061</v>
      </c>
      <c r="B315" t="s">
        <v>117</v>
      </c>
      <c r="C315" t="s">
        <v>118</v>
      </c>
      <c r="D315">
        <v>0</v>
      </c>
      <c r="E315">
        <v>19.8</v>
      </c>
      <c r="F315">
        <v>2469</v>
      </c>
      <c r="G315">
        <v>1873</v>
      </c>
      <c r="H315">
        <v>1.78</v>
      </c>
      <c r="I315">
        <v>476</v>
      </c>
      <c r="J315">
        <v>1</v>
      </c>
    </row>
    <row r="316" spans="1:10" ht="15" customHeight="1" x14ac:dyDescent="0.3">
      <c r="A316" s="18">
        <v>46062</v>
      </c>
      <c r="B316" t="s">
        <v>119</v>
      </c>
      <c r="C316" t="s">
        <v>112</v>
      </c>
      <c r="D316">
        <v>1892</v>
      </c>
      <c r="E316">
        <v>20.7</v>
      </c>
      <c r="F316">
        <v>12287</v>
      </c>
      <c r="G316">
        <v>1733</v>
      </c>
      <c r="H316">
        <v>8.85</v>
      </c>
      <c r="I316">
        <v>455</v>
      </c>
      <c r="J316">
        <v>0</v>
      </c>
    </row>
    <row r="317" spans="1:10" ht="15" customHeight="1" x14ac:dyDescent="0.3">
      <c r="A317" s="18">
        <v>46063</v>
      </c>
      <c r="B317" t="s">
        <v>111</v>
      </c>
      <c r="C317" t="s">
        <v>112</v>
      </c>
      <c r="D317">
        <v>1772</v>
      </c>
      <c r="E317">
        <v>20.399999999999999</v>
      </c>
      <c r="F317">
        <v>12155</v>
      </c>
      <c r="G317">
        <v>1711</v>
      </c>
      <c r="H317">
        <v>8.75</v>
      </c>
      <c r="I317">
        <v>457</v>
      </c>
      <c r="J317">
        <v>2</v>
      </c>
    </row>
    <row r="318" spans="1:10" ht="15" customHeight="1" x14ac:dyDescent="0.3">
      <c r="A318" s="18">
        <v>46064</v>
      </c>
      <c r="B318" t="s">
        <v>113</v>
      </c>
      <c r="C318" t="s">
        <v>112</v>
      </c>
      <c r="D318">
        <v>1640</v>
      </c>
      <c r="E318">
        <v>18.399999999999999</v>
      </c>
      <c r="F318">
        <v>10551</v>
      </c>
      <c r="G318">
        <v>1940</v>
      </c>
      <c r="H318">
        <v>7.6</v>
      </c>
      <c r="I318">
        <v>396</v>
      </c>
      <c r="J318">
        <v>1</v>
      </c>
    </row>
    <row r="319" spans="1:10" ht="15" customHeight="1" x14ac:dyDescent="0.3">
      <c r="A319" s="18">
        <v>46065</v>
      </c>
      <c r="B319" t="s">
        <v>114</v>
      </c>
      <c r="C319" t="s">
        <v>112</v>
      </c>
      <c r="D319">
        <v>1865</v>
      </c>
      <c r="E319">
        <v>23.2</v>
      </c>
      <c r="F319">
        <v>12432</v>
      </c>
      <c r="G319">
        <v>1693</v>
      </c>
      <c r="H319">
        <v>8.9499999999999993</v>
      </c>
      <c r="I319">
        <v>484</v>
      </c>
      <c r="J319">
        <v>2</v>
      </c>
    </row>
    <row r="320" spans="1:10" ht="15" customHeight="1" x14ac:dyDescent="0.3">
      <c r="A320" s="18">
        <v>46066</v>
      </c>
      <c r="B320" t="s">
        <v>115</v>
      </c>
      <c r="C320" t="s">
        <v>112</v>
      </c>
      <c r="D320">
        <v>1783</v>
      </c>
      <c r="E320">
        <v>20.9</v>
      </c>
      <c r="F320">
        <v>11550</v>
      </c>
      <c r="G320">
        <v>1790</v>
      </c>
      <c r="H320">
        <v>8.32</v>
      </c>
      <c r="I320">
        <v>431</v>
      </c>
      <c r="J320">
        <v>0</v>
      </c>
    </row>
    <row r="321" spans="1:10" ht="15" customHeight="1" x14ac:dyDescent="0.3">
      <c r="A321" s="18">
        <v>46067</v>
      </c>
      <c r="B321" t="s">
        <v>116</v>
      </c>
      <c r="C321" t="s">
        <v>112</v>
      </c>
      <c r="D321">
        <v>1681</v>
      </c>
      <c r="E321">
        <v>21.1</v>
      </c>
      <c r="F321">
        <v>10577</v>
      </c>
      <c r="G321">
        <v>1584</v>
      </c>
      <c r="H321">
        <v>7.62</v>
      </c>
      <c r="I321">
        <v>387</v>
      </c>
      <c r="J321">
        <v>1</v>
      </c>
    </row>
    <row r="322" spans="1:10" ht="15" customHeight="1" x14ac:dyDescent="0.3">
      <c r="A322" s="18">
        <v>46068</v>
      </c>
      <c r="B322" t="s">
        <v>117</v>
      </c>
      <c r="C322" t="s">
        <v>118</v>
      </c>
      <c r="D322">
        <v>0</v>
      </c>
      <c r="E322">
        <v>22.5</v>
      </c>
      <c r="F322">
        <v>2377</v>
      </c>
      <c r="G322">
        <v>1377</v>
      </c>
      <c r="H322">
        <v>1.71</v>
      </c>
      <c r="I322">
        <v>427</v>
      </c>
      <c r="J322">
        <v>1</v>
      </c>
    </row>
    <row r="323" spans="1:10" ht="15" customHeight="1" x14ac:dyDescent="0.3">
      <c r="A323" s="18">
        <v>46069</v>
      </c>
      <c r="B323" t="s">
        <v>119</v>
      </c>
      <c r="C323" t="s">
        <v>112</v>
      </c>
      <c r="D323">
        <v>1882</v>
      </c>
      <c r="E323">
        <v>23.5</v>
      </c>
      <c r="F323">
        <v>11975</v>
      </c>
      <c r="G323">
        <v>1583</v>
      </c>
      <c r="H323">
        <v>8.6199999999999992</v>
      </c>
      <c r="I323">
        <v>388</v>
      </c>
      <c r="J323">
        <v>2</v>
      </c>
    </row>
    <row r="324" spans="1:10" ht="15" customHeight="1" x14ac:dyDescent="0.3">
      <c r="A324" s="18">
        <v>46070</v>
      </c>
      <c r="B324" t="s">
        <v>111</v>
      </c>
      <c r="C324" t="s">
        <v>112</v>
      </c>
      <c r="D324">
        <v>1941</v>
      </c>
      <c r="E324">
        <v>21.8</v>
      </c>
      <c r="F324">
        <v>13203</v>
      </c>
      <c r="G324">
        <v>1502</v>
      </c>
      <c r="H324">
        <v>9.51</v>
      </c>
      <c r="I324">
        <v>520</v>
      </c>
      <c r="J324">
        <v>0</v>
      </c>
    </row>
    <row r="325" spans="1:10" ht="15" customHeight="1" x14ac:dyDescent="0.3">
      <c r="A325" s="18">
        <v>46071</v>
      </c>
      <c r="B325" t="s">
        <v>113</v>
      </c>
      <c r="C325" t="s">
        <v>112</v>
      </c>
      <c r="D325">
        <v>1899</v>
      </c>
      <c r="E325">
        <v>21.2</v>
      </c>
      <c r="F325">
        <v>12429</v>
      </c>
      <c r="G325">
        <v>1432</v>
      </c>
      <c r="H325">
        <v>8.9499999999999993</v>
      </c>
      <c r="I325">
        <v>424</v>
      </c>
      <c r="J325">
        <v>0</v>
      </c>
    </row>
    <row r="326" spans="1:10" ht="15" customHeight="1" x14ac:dyDescent="0.3">
      <c r="A326" s="18">
        <v>46072</v>
      </c>
      <c r="B326" t="s">
        <v>114</v>
      </c>
      <c r="C326" t="s">
        <v>112</v>
      </c>
      <c r="D326">
        <v>1612</v>
      </c>
      <c r="E326">
        <v>21.8</v>
      </c>
      <c r="F326">
        <v>10970</v>
      </c>
      <c r="G326">
        <v>1261</v>
      </c>
      <c r="H326">
        <v>7.9</v>
      </c>
      <c r="I326">
        <v>494</v>
      </c>
      <c r="J326">
        <v>1</v>
      </c>
    </row>
    <row r="327" spans="1:10" ht="15" customHeight="1" x14ac:dyDescent="0.3">
      <c r="A327" s="18">
        <v>46073</v>
      </c>
      <c r="B327" t="s">
        <v>115</v>
      </c>
      <c r="C327" t="s">
        <v>112</v>
      </c>
      <c r="D327">
        <v>1857</v>
      </c>
      <c r="E327">
        <v>22.4</v>
      </c>
      <c r="F327">
        <v>11854</v>
      </c>
      <c r="G327">
        <v>1799</v>
      </c>
      <c r="H327">
        <v>8.5299999999999994</v>
      </c>
      <c r="I327">
        <v>455</v>
      </c>
      <c r="J327">
        <v>1</v>
      </c>
    </row>
    <row r="328" spans="1:10" ht="15" customHeight="1" x14ac:dyDescent="0.3">
      <c r="A328" s="18">
        <v>46074</v>
      </c>
      <c r="B328" t="s">
        <v>116</v>
      </c>
      <c r="C328" t="s">
        <v>112</v>
      </c>
      <c r="D328">
        <v>1781</v>
      </c>
      <c r="E328">
        <v>22.4</v>
      </c>
      <c r="F328">
        <v>11749</v>
      </c>
      <c r="G328">
        <v>1852</v>
      </c>
      <c r="H328">
        <v>8.4600000000000009</v>
      </c>
      <c r="I328">
        <v>495</v>
      </c>
      <c r="J328">
        <v>1</v>
      </c>
    </row>
    <row r="329" spans="1:10" ht="15" customHeight="1" x14ac:dyDescent="0.3">
      <c r="A329" s="18">
        <v>46075</v>
      </c>
      <c r="B329" t="s">
        <v>117</v>
      </c>
      <c r="C329" t="s">
        <v>118</v>
      </c>
      <c r="D329">
        <v>0</v>
      </c>
      <c r="E329">
        <v>20.3</v>
      </c>
      <c r="F329">
        <v>2603</v>
      </c>
      <c r="G329">
        <v>1541</v>
      </c>
      <c r="H329">
        <v>1.87</v>
      </c>
      <c r="I329">
        <v>511</v>
      </c>
      <c r="J329">
        <v>2</v>
      </c>
    </row>
    <row r="330" spans="1:10" ht="15" customHeight="1" x14ac:dyDescent="0.3">
      <c r="A330" s="18">
        <v>46076</v>
      </c>
      <c r="B330" t="s">
        <v>119</v>
      </c>
      <c r="C330" t="s">
        <v>112</v>
      </c>
      <c r="D330">
        <v>1937</v>
      </c>
      <c r="E330">
        <v>18</v>
      </c>
      <c r="F330">
        <v>12607</v>
      </c>
      <c r="G330">
        <v>1541</v>
      </c>
      <c r="H330">
        <v>9.08</v>
      </c>
      <c r="I330">
        <v>469</v>
      </c>
      <c r="J330">
        <v>0</v>
      </c>
    </row>
    <row r="331" spans="1:10" ht="15" customHeight="1" x14ac:dyDescent="0.3">
      <c r="A331" s="18">
        <v>46077</v>
      </c>
      <c r="B331" t="s">
        <v>111</v>
      </c>
      <c r="C331" t="s">
        <v>112</v>
      </c>
      <c r="D331">
        <v>1847</v>
      </c>
      <c r="E331">
        <v>22.9</v>
      </c>
      <c r="F331">
        <v>12452</v>
      </c>
      <c r="G331">
        <v>1672</v>
      </c>
      <c r="H331">
        <v>8.9700000000000006</v>
      </c>
      <c r="I331">
        <v>412</v>
      </c>
      <c r="J331">
        <v>0</v>
      </c>
    </row>
    <row r="332" spans="1:10" ht="15" customHeight="1" x14ac:dyDescent="0.3">
      <c r="A332" s="18">
        <v>46078</v>
      </c>
      <c r="B332" t="s">
        <v>113</v>
      </c>
      <c r="C332" t="s">
        <v>112</v>
      </c>
      <c r="D332">
        <v>1820</v>
      </c>
      <c r="E332">
        <v>22.9</v>
      </c>
      <c r="F332">
        <v>11986</v>
      </c>
      <c r="G332">
        <v>1376</v>
      </c>
      <c r="H332">
        <v>8.6300000000000008</v>
      </c>
      <c r="I332">
        <v>455</v>
      </c>
      <c r="J332">
        <v>1</v>
      </c>
    </row>
    <row r="333" spans="1:10" ht="15" customHeight="1" x14ac:dyDescent="0.3">
      <c r="A333" s="18">
        <v>46079</v>
      </c>
      <c r="B333" t="s">
        <v>114</v>
      </c>
      <c r="C333" t="s">
        <v>112</v>
      </c>
      <c r="D333">
        <v>1784</v>
      </c>
      <c r="E333">
        <v>23.3</v>
      </c>
      <c r="F333">
        <v>11651</v>
      </c>
      <c r="G333">
        <v>1655</v>
      </c>
      <c r="H333">
        <v>8.39</v>
      </c>
      <c r="I333">
        <v>447</v>
      </c>
      <c r="J333">
        <v>2</v>
      </c>
    </row>
    <row r="334" spans="1:10" ht="15" customHeight="1" x14ac:dyDescent="0.3">
      <c r="A334" s="18">
        <v>46080</v>
      </c>
      <c r="B334" t="s">
        <v>115</v>
      </c>
      <c r="C334" t="s">
        <v>112</v>
      </c>
      <c r="D334">
        <v>1903</v>
      </c>
      <c r="E334">
        <v>22.2</v>
      </c>
      <c r="F334">
        <v>12037</v>
      </c>
      <c r="G334">
        <v>1454</v>
      </c>
      <c r="H334">
        <v>8.67</v>
      </c>
      <c r="I334">
        <v>430</v>
      </c>
      <c r="J334">
        <v>1</v>
      </c>
    </row>
    <row r="335" spans="1:10" ht="15" customHeight="1" x14ac:dyDescent="0.3">
      <c r="A335" s="18">
        <v>46081</v>
      </c>
      <c r="B335" t="s">
        <v>116</v>
      </c>
      <c r="C335" t="s">
        <v>112</v>
      </c>
      <c r="D335">
        <v>1792</v>
      </c>
      <c r="E335">
        <v>22.9</v>
      </c>
      <c r="F335">
        <v>11644</v>
      </c>
      <c r="G335">
        <v>1523</v>
      </c>
      <c r="H335">
        <v>8.3800000000000008</v>
      </c>
      <c r="I335">
        <v>406</v>
      </c>
      <c r="J335">
        <v>0</v>
      </c>
    </row>
    <row r="336" spans="1:10" ht="15" customHeight="1" x14ac:dyDescent="0.3">
      <c r="A336" s="18">
        <v>46082</v>
      </c>
      <c r="B336" t="s">
        <v>117</v>
      </c>
      <c r="C336" t="s">
        <v>118</v>
      </c>
      <c r="D336">
        <v>0</v>
      </c>
      <c r="E336">
        <v>22.2</v>
      </c>
      <c r="F336">
        <v>2488</v>
      </c>
      <c r="G336">
        <v>1922</v>
      </c>
      <c r="H336">
        <v>1.79</v>
      </c>
      <c r="I336">
        <v>485</v>
      </c>
      <c r="J336">
        <v>2</v>
      </c>
    </row>
    <row r="337" spans="1:10" ht="15" customHeight="1" x14ac:dyDescent="0.3">
      <c r="A337" s="18">
        <v>46083</v>
      </c>
      <c r="B337" t="s">
        <v>119</v>
      </c>
      <c r="C337" t="s">
        <v>112</v>
      </c>
      <c r="D337">
        <v>1578</v>
      </c>
      <c r="E337">
        <v>24.7</v>
      </c>
      <c r="F337">
        <v>10591</v>
      </c>
      <c r="G337">
        <v>1371</v>
      </c>
      <c r="H337">
        <v>7.63</v>
      </c>
      <c r="I337">
        <v>501</v>
      </c>
      <c r="J337">
        <v>2</v>
      </c>
    </row>
    <row r="338" spans="1:10" ht="15" customHeight="1" x14ac:dyDescent="0.3">
      <c r="A338" s="18">
        <v>46084</v>
      </c>
      <c r="B338" t="s">
        <v>111</v>
      </c>
      <c r="C338" t="s">
        <v>112</v>
      </c>
      <c r="D338">
        <v>1654</v>
      </c>
      <c r="E338">
        <v>21.8</v>
      </c>
      <c r="F338">
        <v>11075</v>
      </c>
      <c r="G338">
        <v>1519</v>
      </c>
      <c r="H338">
        <v>7.97</v>
      </c>
      <c r="I338">
        <v>394</v>
      </c>
      <c r="J338">
        <v>0</v>
      </c>
    </row>
    <row r="339" spans="1:10" ht="15" customHeight="1" x14ac:dyDescent="0.3">
      <c r="A339" s="18">
        <v>46085</v>
      </c>
      <c r="B339" t="s">
        <v>113</v>
      </c>
      <c r="C339" t="s">
        <v>112</v>
      </c>
      <c r="D339">
        <v>1880</v>
      </c>
      <c r="E339">
        <v>26.1</v>
      </c>
      <c r="F339">
        <v>12481</v>
      </c>
      <c r="G339">
        <v>1692</v>
      </c>
      <c r="H339">
        <v>8.99</v>
      </c>
      <c r="I339">
        <v>427</v>
      </c>
      <c r="J339">
        <v>0</v>
      </c>
    </row>
    <row r="340" spans="1:10" ht="15" customHeight="1" x14ac:dyDescent="0.3">
      <c r="A340" s="18">
        <v>46086</v>
      </c>
      <c r="B340" t="s">
        <v>114</v>
      </c>
      <c r="C340" t="s">
        <v>112</v>
      </c>
      <c r="D340">
        <v>2035</v>
      </c>
      <c r="E340">
        <v>23.1</v>
      </c>
      <c r="F340">
        <v>12908</v>
      </c>
      <c r="G340">
        <v>1897</v>
      </c>
      <c r="H340">
        <v>9.2899999999999991</v>
      </c>
      <c r="I340">
        <v>499</v>
      </c>
      <c r="J340">
        <v>0</v>
      </c>
    </row>
    <row r="341" spans="1:10" ht="15" customHeight="1" x14ac:dyDescent="0.3">
      <c r="A341" s="18">
        <v>46087</v>
      </c>
      <c r="B341" t="s">
        <v>115</v>
      </c>
      <c r="C341" t="s">
        <v>112</v>
      </c>
      <c r="D341">
        <v>1838</v>
      </c>
      <c r="E341">
        <v>22.3</v>
      </c>
      <c r="F341">
        <v>12676</v>
      </c>
      <c r="G341">
        <v>1825</v>
      </c>
      <c r="H341">
        <v>9.1300000000000008</v>
      </c>
      <c r="I341">
        <v>460</v>
      </c>
      <c r="J341">
        <v>0</v>
      </c>
    </row>
    <row r="342" spans="1:10" ht="15" customHeight="1" x14ac:dyDescent="0.3">
      <c r="A342" s="18">
        <v>46088</v>
      </c>
      <c r="B342" t="s">
        <v>116</v>
      </c>
      <c r="C342" t="s">
        <v>112</v>
      </c>
      <c r="D342">
        <v>1926</v>
      </c>
      <c r="E342">
        <v>23.8</v>
      </c>
      <c r="F342">
        <v>12887</v>
      </c>
      <c r="G342">
        <v>1656</v>
      </c>
      <c r="H342">
        <v>9.2799999999999994</v>
      </c>
      <c r="I342">
        <v>405</v>
      </c>
      <c r="J342">
        <v>2</v>
      </c>
    </row>
    <row r="343" spans="1:10" ht="15" customHeight="1" x14ac:dyDescent="0.3">
      <c r="A343" s="18">
        <v>46089</v>
      </c>
      <c r="B343" t="s">
        <v>117</v>
      </c>
      <c r="C343" t="s">
        <v>118</v>
      </c>
      <c r="D343">
        <v>0</v>
      </c>
      <c r="E343">
        <v>24</v>
      </c>
      <c r="F343">
        <v>2733</v>
      </c>
      <c r="G343">
        <v>1736</v>
      </c>
      <c r="H343">
        <v>1.97</v>
      </c>
      <c r="I343">
        <v>414</v>
      </c>
      <c r="J343">
        <v>2</v>
      </c>
    </row>
    <row r="344" spans="1:10" ht="15" customHeight="1" x14ac:dyDescent="0.3">
      <c r="A344" s="18">
        <v>46090</v>
      </c>
      <c r="B344" t="s">
        <v>119</v>
      </c>
      <c r="C344" t="s">
        <v>112</v>
      </c>
      <c r="D344">
        <v>2062</v>
      </c>
      <c r="E344">
        <v>24.7</v>
      </c>
      <c r="F344">
        <v>12963</v>
      </c>
      <c r="G344">
        <v>1591</v>
      </c>
      <c r="H344">
        <v>9.33</v>
      </c>
      <c r="I344">
        <v>413</v>
      </c>
      <c r="J344">
        <v>1</v>
      </c>
    </row>
    <row r="345" spans="1:10" ht="15" customHeight="1" x14ac:dyDescent="0.3">
      <c r="A345" s="18">
        <v>46091</v>
      </c>
      <c r="B345" t="s">
        <v>111</v>
      </c>
      <c r="C345" t="s">
        <v>112</v>
      </c>
      <c r="D345">
        <v>1556</v>
      </c>
      <c r="E345">
        <v>24.1</v>
      </c>
      <c r="F345">
        <v>10513</v>
      </c>
      <c r="G345">
        <v>1764</v>
      </c>
      <c r="H345">
        <v>7.57</v>
      </c>
      <c r="I345">
        <v>496</v>
      </c>
      <c r="J345">
        <v>1</v>
      </c>
    </row>
    <row r="346" spans="1:10" ht="15" customHeight="1" x14ac:dyDescent="0.3">
      <c r="A346" s="18">
        <v>46092</v>
      </c>
      <c r="B346" t="s">
        <v>113</v>
      </c>
      <c r="C346" t="s">
        <v>112</v>
      </c>
      <c r="D346">
        <v>1678</v>
      </c>
      <c r="E346">
        <v>22</v>
      </c>
      <c r="F346">
        <v>11343</v>
      </c>
      <c r="G346">
        <v>1560</v>
      </c>
      <c r="H346">
        <v>8.17</v>
      </c>
      <c r="I346">
        <v>409</v>
      </c>
      <c r="J346">
        <v>2</v>
      </c>
    </row>
    <row r="347" spans="1:10" ht="15" customHeight="1" x14ac:dyDescent="0.3">
      <c r="A347" s="18">
        <v>46093</v>
      </c>
      <c r="B347" t="s">
        <v>114</v>
      </c>
      <c r="C347" t="s">
        <v>112</v>
      </c>
      <c r="D347">
        <v>1722</v>
      </c>
      <c r="E347">
        <v>21.9</v>
      </c>
      <c r="F347">
        <v>11658</v>
      </c>
      <c r="G347">
        <v>1564</v>
      </c>
      <c r="H347">
        <v>8.39</v>
      </c>
      <c r="I347">
        <v>452</v>
      </c>
      <c r="J347">
        <v>1</v>
      </c>
    </row>
    <row r="348" spans="1:10" ht="15" customHeight="1" x14ac:dyDescent="0.3">
      <c r="A348" s="18">
        <v>46094</v>
      </c>
      <c r="B348" t="s">
        <v>115</v>
      </c>
      <c r="C348" t="s">
        <v>112</v>
      </c>
      <c r="D348">
        <v>1850</v>
      </c>
      <c r="E348">
        <v>20.100000000000001</v>
      </c>
      <c r="F348">
        <v>12517</v>
      </c>
      <c r="G348">
        <v>1686</v>
      </c>
      <c r="H348">
        <v>9.01</v>
      </c>
      <c r="I348">
        <v>395</v>
      </c>
      <c r="J348">
        <v>0</v>
      </c>
    </row>
    <row r="349" spans="1:10" ht="15" customHeight="1" x14ac:dyDescent="0.3">
      <c r="A349" s="18">
        <v>46095</v>
      </c>
      <c r="B349" t="s">
        <v>116</v>
      </c>
      <c r="C349" t="s">
        <v>112</v>
      </c>
      <c r="D349">
        <v>1975</v>
      </c>
      <c r="E349">
        <v>24.4</v>
      </c>
      <c r="F349">
        <v>12809</v>
      </c>
      <c r="G349">
        <v>1797</v>
      </c>
      <c r="H349">
        <v>9.2200000000000006</v>
      </c>
      <c r="I349">
        <v>472</v>
      </c>
      <c r="J349">
        <v>1</v>
      </c>
    </row>
    <row r="350" spans="1:10" ht="15" customHeight="1" x14ac:dyDescent="0.3">
      <c r="A350" s="18">
        <v>46096</v>
      </c>
      <c r="B350" t="s">
        <v>117</v>
      </c>
      <c r="C350" t="s">
        <v>118</v>
      </c>
      <c r="D350">
        <v>0</v>
      </c>
      <c r="E350">
        <v>23.1</v>
      </c>
      <c r="F350">
        <v>2628</v>
      </c>
      <c r="G350">
        <v>1397</v>
      </c>
      <c r="H350">
        <v>1.89</v>
      </c>
      <c r="I350">
        <v>468</v>
      </c>
      <c r="J350">
        <v>1</v>
      </c>
    </row>
    <row r="351" spans="1:10" ht="15" customHeight="1" x14ac:dyDescent="0.3">
      <c r="A351" s="18">
        <v>46097</v>
      </c>
      <c r="B351" t="s">
        <v>119</v>
      </c>
      <c r="C351" t="s">
        <v>112</v>
      </c>
      <c r="D351">
        <v>1800</v>
      </c>
      <c r="E351">
        <v>22.7</v>
      </c>
      <c r="F351">
        <v>12016</v>
      </c>
      <c r="G351">
        <v>1893</v>
      </c>
      <c r="H351">
        <v>8.65</v>
      </c>
      <c r="I351">
        <v>464</v>
      </c>
      <c r="J351">
        <v>1</v>
      </c>
    </row>
    <row r="352" spans="1:10" ht="15" customHeight="1" x14ac:dyDescent="0.3">
      <c r="A352" s="18">
        <v>46098</v>
      </c>
      <c r="B352" t="s">
        <v>111</v>
      </c>
      <c r="C352" t="s">
        <v>112</v>
      </c>
      <c r="D352">
        <v>1883</v>
      </c>
      <c r="E352">
        <v>24.1</v>
      </c>
      <c r="F352">
        <v>12496</v>
      </c>
      <c r="G352">
        <v>1703</v>
      </c>
      <c r="H352">
        <v>9</v>
      </c>
      <c r="I352">
        <v>517</v>
      </c>
      <c r="J352">
        <v>0</v>
      </c>
    </row>
    <row r="353" spans="1:10" ht="15" customHeight="1" x14ac:dyDescent="0.3">
      <c r="A353" s="18">
        <v>46099</v>
      </c>
      <c r="B353" t="s">
        <v>113</v>
      </c>
      <c r="C353" t="s">
        <v>112</v>
      </c>
      <c r="D353">
        <v>1700</v>
      </c>
      <c r="E353">
        <v>23.8</v>
      </c>
      <c r="F353">
        <v>11598</v>
      </c>
      <c r="G353">
        <v>1616</v>
      </c>
      <c r="H353">
        <v>8.35</v>
      </c>
      <c r="I353">
        <v>425</v>
      </c>
      <c r="J353">
        <v>0</v>
      </c>
    </row>
    <row r="354" spans="1:10" ht="15" customHeight="1" x14ac:dyDescent="0.3">
      <c r="A354" s="18">
        <v>46100</v>
      </c>
      <c r="B354" t="s">
        <v>114</v>
      </c>
      <c r="C354" t="s">
        <v>112</v>
      </c>
      <c r="D354">
        <v>2001</v>
      </c>
      <c r="E354">
        <v>21.7</v>
      </c>
      <c r="F354">
        <v>13144</v>
      </c>
      <c r="G354">
        <v>1794</v>
      </c>
      <c r="H354">
        <v>9.4600000000000009</v>
      </c>
      <c r="I354">
        <v>474</v>
      </c>
      <c r="J354">
        <v>0</v>
      </c>
    </row>
    <row r="355" spans="1:10" ht="15" customHeight="1" x14ac:dyDescent="0.3">
      <c r="A355" s="18">
        <v>46101</v>
      </c>
      <c r="B355" t="s">
        <v>115</v>
      </c>
      <c r="C355" t="s">
        <v>112</v>
      </c>
      <c r="D355">
        <v>1926</v>
      </c>
      <c r="E355">
        <v>25.9</v>
      </c>
      <c r="F355">
        <v>12805</v>
      </c>
      <c r="G355">
        <v>1791</v>
      </c>
      <c r="H355">
        <v>9.2200000000000006</v>
      </c>
      <c r="I355">
        <v>482</v>
      </c>
      <c r="J355">
        <v>0</v>
      </c>
    </row>
    <row r="356" spans="1:10" ht="15" customHeight="1" x14ac:dyDescent="0.3">
      <c r="A356" s="18">
        <v>46102</v>
      </c>
      <c r="B356" t="s">
        <v>116</v>
      </c>
      <c r="C356" t="s">
        <v>112</v>
      </c>
      <c r="D356">
        <v>1924</v>
      </c>
      <c r="E356">
        <v>23.9</v>
      </c>
      <c r="F356">
        <v>12598</v>
      </c>
      <c r="G356">
        <v>1702</v>
      </c>
      <c r="H356">
        <v>9.07</v>
      </c>
      <c r="I356">
        <v>425</v>
      </c>
      <c r="J356">
        <v>1</v>
      </c>
    </row>
    <row r="357" spans="1:10" ht="15" customHeight="1" x14ac:dyDescent="0.3">
      <c r="A357" s="18">
        <v>46103</v>
      </c>
      <c r="B357" t="s">
        <v>117</v>
      </c>
      <c r="C357" t="s">
        <v>118</v>
      </c>
      <c r="D357">
        <v>0</v>
      </c>
      <c r="E357">
        <v>20.5</v>
      </c>
      <c r="F357">
        <v>2621</v>
      </c>
      <c r="G357">
        <v>1531</v>
      </c>
      <c r="H357">
        <v>1.89</v>
      </c>
      <c r="I357">
        <v>445</v>
      </c>
      <c r="J357">
        <v>1</v>
      </c>
    </row>
    <row r="358" spans="1:10" ht="15" customHeight="1" x14ac:dyDescent="0.3">
      <c r="A358" s="18">
        <v>46104</v>
      </c>
      <c r="B358" t="s">
        <v>119</v>
      </c>
      <c r="C358" t="s">
        <v>112</v>
      </c>
      <c r="D358">
        <v>1989</v>
      </c>
      <c r="E358">
        <v>27.2</v>
      </c>
      <c r="F358">
        <v>12876</v>
      </c>
      <c r="G358">
        <v>1838</v>
      </c>
      <c r="H358">
        <v>9.27</v>
      </c>
      <c r="I358">
        <v>516</v>
      </c>
      <c r="J358">
        <v>1</v>
      </c>
    </row>
    <row r="359" spans="1:10" ht="15" customHeight="1" x14ac:dyDescent="0.3">
      <c r="A359" s="18">
        <v>46105</v>
      </c>
      <c r="B359" t="s">
        <v>111</v>
      </c>
      <c r="C359" t="s">
        <v>112</v>
      </c>
      <c r="D359">
        <v>1568</v>
      </c>
      <c r="E359">
        <v>26</v>
      </c>
      <c r="F359">
        <v>10553</v>
      </c>
      <c r="G359">
        <v>1511</v>
      </c>
      <c r="H359">
        <v>7.6</v>
      </c>
      <c r="I359">
        <v>496</v>
      </c>
      <c r="J359">
        <v>2</v>
      </c>
    </row>
    <row r="360" spans="1:10" ht="15" customHeight="1" x14ac:dyDescent="0.3">
      <c r="A360" s="18">
        <v>46106</v>
      </c>
      <c r="B360" t="s">
        <v>113</v>
      </c>
      <c r="C360" t="s">
        <v>112</v>
      </c>
      <c r="D360">
        <v>2049</v>
      </c>
      <c r="E360">
        <v>25.3</v>
      </c>
      <c r="F360">
        <v>12788</v>
      </c>
      <c r="G360">
        <v>1993</v>
      </c>
      <c r="H360">
        <v>9.2100000000000009</v>
      </c>
      <c r="I360">
        <v>514</v>
      </c>
      <c r="J360">
        <v>2</v>
      </c>
    </row>
    <row r="361" spans="1:10" ht="15" customHeight="1" x14ac:dyDescent="0.3">
      <c r="A361" s="18">
        <v>46107</v>
      </c>
      <c r="B361" t="s">
        <v>114</v>
      </c>
      <c r="C361" t="s">
        <v>112</v>
      </c>
      <c r="D361">
        <v>1920</v>
      </c>
      <c r="E361">
        <v>28.4</v>
      </c>
      <c r="F361">
        <v>12689</v>
      </c>
      <c r="G361">
        <v>1648</v>
      </c>
      <c r="H361">
        <v>9.14</v>
      </c>
      <c r="I361">
        <v>467</v>
      </c>
      <c r="J361">
        <v>0</v>
      </c>
    </row>
    <row r="362" spans="1:10" ht="15" customHeight="1" x14ac:dyDescent="0.3">
      <c r="A362" s="18">
        <v>46108</v>
      </c>
      <c r="B362" t="s">
        <v>115</v>
      </c>
      <c r="C362" t="s">
        <v>112</v>
      </c>
      <c r="D362">
        <v>1719</v>
      </c>
      <c r="E362">
        <v>25.6</v>
      </c>
      <c r="F362">
        <v>11825</v>
      </c>
      <c r="G362">
        <v>1516</v>
      </c>
      <c r="H362">
        <v>8.51</v>
      </c>
      <c r="I362">
        <v>437</v>
      </c>
      <c r="J362">
        <v>2</v>
      </c>
    </row>
    <row r="363" spans="1:10" ht="15" customHeight="1" x14ac:dyDescent="0.3">
      <c r="A363" s="18">
        <v>46109</v>
      </c>
      <c r="B363" t="s">
        <v>116</v>
      </c>
      <c r="C363" t="s">
        <v>112</v>
      </c>
      <c r="D363">
        <v>1648</v>
      </c>
      <c r="E363">
        <v>24.3</v>
      </c>
      <c r="F363">
        <v>10809</v>
      </c>
      <c r="G363">
        <v>1505</v>
      </c>
      <c r="H363">
        <v>7.78</v>
      </c>
      <c r="I363">
        <v>514</v>
      </c>
      <c r="J363">
        <v>2</v>
      </c>
    </row>
    <row r="364" spans="1:10" ht="15" customHeight="1" x14ac:dyDescent="0.3">
      <c r="A364" s="18">
        <v>46110</v>
      </c>
      <c r="B364" t="s">
        <v>117</v>
      </c>
      <c r="C364" t="s">
        <v>118</v>
      </c>
      <c r="D364">
        <v>0</v>
      </c>
      <c r="E364">
        <v>24.4</v>
      </c>
      <c r="F364">
        <v>2232</v>
      </c>
      <c r="G364">
        <v>1910</v>
      </c>
      <c r="H364">
        <v>1.61</v>
      </c>
      <c r="I364">
        <v>413</v>
      </c>
      <c r="J364">
        <v>1</v>
      </c>
    </row>
    <row r="365" spans="1:10" ht="15" customHeight="1" x14ac:dyDescent="0.3">
      <c r="A365" s="18">
        <v>46111</v>
      </c>
      <c r="B365" t="s">
        <v>119</v>
      </c>
      <c r="C365" t="s">
        <v>112</v>
      </c>
      <c r="D365">
        <v>1795</v>
      </c>
      <c r="E365">
        <v>24</v>
      </c>
      <c r="F365">
        <v>11814</v>
      </c>
      <c r="G365">
        <v>1654</v>
      </c>
      <c r="H365">
        <v>8.51</v>
      </c>
      <c r="I365">
        <v>463</v>
      </c>
      <c r="J365">
        <v>2</v>
      </c>
    </row>
    <row r="366" spans="1:10" ht="15" customHeight="1" x14ac:dyDescent="0.3">
      <c r="A366" s="18">
        <v>46112</v>
      </c>
      <c r="B366" t="s">
        <v>111</v>
      </c>
      <c r="C366" t="s">
        <v>112</v>
      </c>
      <c r="D366">
        <v>1853</v>
      </c>
      <c r="E366">
        <v>23.7</v>
      </c>
      <c r="F366">
        <v>12752</v>
      </c>
      <c r="G366">
        <v>1740</v>
      </c>
      <c r="H366">
        <v>9.18</v>
      </c>
      <c r="I366">
        <v>415</v>
      </c>
      <c r="J366">
        <v>0</v>
      </c>
    </row>
  </sheetData>
  <autoFilter ref="A1:J36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zoomScaleNormal="100" workbookViewId="0">
      <pane ySplit="1" topLeftCell="A2" activePane="bottomLeft" state="frozen"/>
      <selection pane="bottomLeft"/>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3.25" customHeight="1" x14ac:dyDescent="0.25">
      <c r="A1" s="15" t="s">
        <v>120</v>
      </c>
      <c r="B1" s="15" t="s">
        <v>121</v>
      </c>
      <c r="C1" s="15" t="s">
        <v>122</v>
      </c>
      <c r="D1" s="15" t="s">
        <v>123</v>
      </c>
      <c r="E1" s="15" t="s">
        <v>124</v>
      </c>
      <c r="F1" s="15" t="s">
        <v>125</v>
      </c>
    </row>
    <row r="2" spans="1:6" ht="15" customHeight="1" x14ac:dyDescent="0.25">
      <c r="A2" t="s">
        <v>126</v>
      </c>
      <c r="B2" t="s">
        <v>101</v>
      </c>
      <c r="C2" t="s">
        <v>127</v>
      </c>
      <c r="D2" t="s">
        <v>128</v>
      </c>
      <c r="E2">
        <v>365</v>
      </c>
      <c r="F2">
        <v>365</v>
      </c>
    </row>
    <row r="3" spans="1:6" ht="15" customHeight="1" x14ac:dyDescent="0.25">
      <c r="A3" t="s">
        <v>126</v>
      </c>
      <c r="B3" t="s">
        <v>102</v>
      </c>
      <c r="C3" t="s">
        <v>129</v>
      </c>
      <c r="D3" t="s">
        <v>111</v>
      </c>
      <c r="E3">
        <v>365</v>
      </c>
      <c r="F3">
        <v>7</v>
      </c>
    </row>
    <row r="4" spans="1:6" ht="15" customHeight="1" x14ac:dyDescent="0.25">
      <c r="A4" t="s">
        <v>126</v>
      </c>
      <c r="B4" t="s">
        <v>103</v>
      </c>
      <c r="C4" t="s">
        <v>129</v>
      </c>
      <c r="D4" t="s">
        <v>112</v>
      </c>
      <c r="E4">
        <v>365</v>
      </c>
      <c r="F4">
        <v>2</v>
      </c>
    </row>
    <row r="5" spans="1:6" ht="15" customHeight="1" x14ac:dyDescent="0.25">
      <c r="A5" t="s">
        <v>126</v>
      </c>
      <c r="B5" t="s">
        <v>104</v>
      </c>
      <c r="C5" t="s">
        <v>130</v>
      </c>
      <c r="D5" t="s">
        <v>131</v>
      </c>
      <c r="E5">
        <v>365</v>
      </c>
      <c r="F5">
        <v>233</v>
      </c>
    </row>
    <row r="6" spans="1:6" ht="15" customHeight="1" x14ac:dyDescent="0.25">
      <c r="A6" t="s">
        <v>126</v>
      </c>
      <c r="B6" t="s">
        <v>105</v>
      </c>
      <c r="C6" t="s">
        <v>132</v>
      </c>
      <c r="D6" t="s">
        <v>133</v>
      </c>
      <c r="E6">
        <v>365</v>
      </c>
      <c r="F6">
        <v>154</v>
      </c>
    </row>
    <row r="7" spans="1:6" ht="15" customHeight="1" x14ac:dyDescent="0.25">
      <c r="A7" t="s">
        <v>126</v>
      </c>
      <c r="B7" t="s">
        <v>106</v>
      </c>
      <c r="C7" t="s">
        <v>132</v>
      </c>
      <c r="D7" t="s">
        <v>134</v>
      </c>
      <c r="E7">
        <v>365</v>
      </c>
      <c r="F7">
        <v>350</v>
      </c>
    </row>
    <row r="8" spans="1:6" ht="15" customHeight="1" x14ac:dyDescent="0.25">
      <c r="A8" t="s">
        <v>126</v>
      </c>
      <c r="B8" t="s">
        <v>107</v>
      </c>
      <c r="C8" t="s">
        <v>132</v>
      </c>
      <c r="D8" t="s">
        <v>135</v>
      </c>
      <c r="E8">
        <v>365</v>
      </c>
      <c r="F8">
        <v>327</v>
      </c>
    </row>
    <row r="9" spans="1:6" ht="15" customHeight="1" x14ac:dyDescent="0.25">
      <c r="A9" t="s">
        <v>126</v>
      </c>
      <c r="B9" t="s">
        <v>108</v>
      </c>
      <c r="C9" t="s">
        <v>132</v>
      </c>
      <c r="D9" t="s">
        <v>136</v>
      </c>
      <c r="E9">
        <v>365</v>
      </c>
      <c r="F9">
        <v>228</v>
      </c>
    </row>
    <row r="10" spans="1:6" ht="15" customHeight="1" x14ac:dyDescent="0.25">
      <c r="A10" t="s">
        <v>126</v>
      </c>
      <c r="B10" t="s">
        <v>109</v>
      </c>
      <c r="C10" t="s">
        <v>132</v>
      </c>
      <c r="D10" t="s">
        <v>137</v>
      </c>
      <c r="E10">
        <v>365</v>
      </c>
      <c r="F10">
        <v>130</v>
      </c>
    </row>
    <row r="11" spans="1:6" ht="15" customHeight="1" x14ac:dyDescent="0.25">
      <c r="A11" t="s">
        <v>126</v>
      </c>
      <c r="B11" t="s">
        <v>110</v>
      </c>
      <c r="C11" t="s">
        <v>130</v>
      </c>
      <c r="D11" t="s">
        <v>138</v>
      </c>
      <c r="E11">
        <v>365</v>
      </c>
      <c r="F11">
        <v>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
  <sheetViews>
    <sheetView showGridLines="0" zoomScaleNormal="100" workbookViewId="0"/>
  </sheetViews>
  <sheetFormatPr defaultColWidth="8.6640625" defaultRowHeight="13.2" x14ac:dyDescent="0.25"/>
  <cols>
    <col min="1" max="1" width="44" customWidth="1"/>
    <col min="2" max="2" width="16" customWidth="1"/>
    <col min="3" max="3" width="12" customWidth="1"/>
    <col min="4" max="4" width="14" customWidth="1"/>
    <col min="5" max="5" width="50" customWidth="1"/>
  </cols>
  <sheetData>
    <row r="1" spans="1:5" ht="19.2" x14ac:dyDescent="0.35">
      <c r="A1" s="19" t="s">
        <v>139</v>
      </c>
    </row>
    <row r="2" spans="1:5" x14ac:dyDescent="0.25">
      <c r="A2" s="20" t="s">
        <v>140</v>
      </c>
    </row>
    <row r="3" spans="1:5" x14ac:dyDescent="0.25">
      <c r="A3" s="21" t="s">
        <v>141</v>
      </c>
      <c r="B3" s="21" t="s">
        <v>142</v>
      </c>
      <c r="C3" s="21" t="s">
        <v>143</v>
      </c>
      <c r="D3" s="21" t="s">
        <v>144</v>
      </c>
      <c r="E3" s="21" t="s">
        <v>145</v>
      </c>
    </row>
    <row r="4" spans="1:5" x14ac:dyDescent="0.25">
      <c r="A4" s="22" t="s">
        <v>146</v>
      </c>
      <c r="B4" s="23">
        <f>COUNTA('Daily Energy'!$A$2:$A$366)</f>
        <v>365</v>
      </c>
      <c r="C4" s="24">
        <v>365</v>
      </c>
      <c r="D4" s="25" t="str">
        <f t="shared" ref="D4:D16" si="0">IF(B4=C4,"PASS","FAIL")</f>
        <v>PASS</v>
      </c>
      <c r="E4" s="26"/>
    </row>
    <row r="5" spans="1:5" x14ac:dyDescent="0.25">
      <c r="A5" s="22" t="s">
        <v>147</v>
      </c>
      <c r="B5" s="23">
        <f>COUNTBLANK('Daily Energy'!$A$2:$J$366)</f>
        <v>0</v>
      </c>
      <c r="C5" s="24">
        <v>0</v>
      </c>
      <c r="D5" s="25" t="str">
        <f t="shared" si="0"/>
        <v>PASS</v>
      </c>
      <c r="E5" s="26"/>
    </row>
    <row r="6" spans="1:5" x14ac:dyDescent="0.25">
      <c r="A6" s="22" t="s">
        <v>148</v>
      </c>
      <c r="B6" s="23">
        <f>SUMPRODUCT((COUNTIF('Daily Energy'!$A$2:$A$366,'Daily Energy'!$A$2:$A$366)&gt;1)*1)</f>
        <v>0</v>
      </c>
      <c r="C6" s="24">
        <v>0</v>
      </c>
      <c r="D6" s="25" t="str">
        <f t="shared" si="0"/>
        <v>PASS</v>
      </c>
      <c r="E6" s="26" t="s">
        <v>149</v>
      </c>
    </row>
    <row r="7" spans="1:5" x14ac:dyDescent="0.25">
      <c r="A7" s="22" t="s">
        <v>150</v>
      </c>
      <c r="B7" s="27">
        <f>MIN('Daily Energy'!$A$2:$A$366)</f>
        <v>45748</v>
      </c>
      <c r="C7" s="28">
        <v>45748</v>
      </c>
      <c r="D7" s="25" t="str">
        <f t="shared" si="0"/>
        <v>PASS</v>
      </c>
      <c r="E7" s="26"/>
    </row>
    <row r="8" spans="1:5" x14ac:dyDescent="0.25">
      <c r="A8" s="22" t="s">
        <v>151</v>
      </c>
      <c r="B8" s="27">
        <f>MAX('Daily Energy'!$A$2:$A$366)</f>
        <v>46112</v>
      </c>
      <c r="C8" s="28">
        <v>46112</v>
      </c>
      <c r="D8" s="25" t="str">
        <f t="shared" si="0"/>
        <v>PASS</v>
      </c>
      <c r="E8" s="26"/>
    </row>
    <row r="9" spans="1:5" x14ac:dyDescent="0.25">
      <c r="A9" s="22" t="s">
        <v>152</v>
      </c>
      <c r="B9" s="23">
        <f>SUMPRODUCT(--('Daily Energy'!$A$3:$A$366-'Daily Energy'!$A$2:$A$365&lt;&gt;1))</f>
        <v>0</v>
      </c>
      <c r="C9" s="24">
        <v>0</v>
      </c>
      <c r="D9" s="25" t="str">
        <f t="shared" si="0"/>
        <v>PASS</v>
      </c>
      <c r="E9" s="26" t="s">
        <v>153</v>
      </c>
    </row>
    <row r="10" spans="1:5" x14ac:dyDescent="0.25">
      <c r="A10" s="22" t="s">
        <v>154</v>
      </c>
      <c r="B10" s="23">
        <f>B8-B7+1</f>
        <v>365</v>
      </c>
      <c r="C10" s="24">
        <v>365</v>
      </c>
      <c r="D10" s="25" t="str">
        <f t="shared" si="0"/>
        <v>PASS</v>
      </c>
      <c r="E10" s="26" t="s">
        <v>155</v>
      </c>
    </row>
    <row r="11" spans="1:5" x14ac:dyDescent="0.25">
      <c r="A11" s="22" t="s">
        <v>156</v>
      </c>
      <c r="B11" s="23">
        <f>COUNTIF('Daily Energy'!$C$2:$C$366,"Yes")</f>
        <v>313</v>
      </c>
      <c r="C11" s="24">
        <v>313</v>
      </c>
      <c r="D11" s="25" t="str">
        <f t="shared" si="0"/>
        <v>PASS</v>
      </c>
      <c r="E11" s="26"/>
    </row>
    <row r="12" spans="1:5" x14ac:dyDescent="0.25">
      <c r="A12" s="22" t="s">
        <v>157</v>
      </c>
      <c r="B12" s="23">
        <f>COUNTIF('Daily Energy'!$C$2:$C$366,"No")</f>
        <v>52</v>
      </c>
      <c r="C12" s="24">
        <v>52</v>
      </c>
      <c r="D12" s="25" t="str">
        <f t="shared" si="0"/>
        <v>PASS</v>
      </c>
      <c r="E12" s="26"/>
    </row>
    <row r="13" spans="1:5" x14ac:dyDescent="0.25">
      <c r="A13" s="22" t="s">
        <v>158</v>
      </c>
      <c r="B13" s="23">
        <f>COUNTA('Daily Energy'!$C$2:$C$366)-COUNTIF('Daily Energy'!$C$2:$C$366,"Yes")-COUNTIF('Daily Energy'!$C$2:$C$366,"No")</f>
        <v>0</v>
      </c>
      <c r="C13" s="24">
        <v>0</v>
      </c>
      <c r="D13" s="25" t="str">
        <f t="shared" si="0"/>
        <v>PASS</v>
      </c>
      <c r="E13" s="26" t="s">
        <v>159</v>
      </c>
    </row>
    <row r="14" spans="1:5" x14ac:dyDescent="0.25">
      <c r="A14" s="22" t="s">
        <v>160</v>
      </c>
      <c r="B14" s="23">
        <f>COUNTIF('Daily Energy'!$D$2:$J$366,"&lt;0")</f>
        <v>0</v>
      </c>
      <c r="C14" s="24">
        <v>0</v>
      </c>
      <c r="D14" s="25" t="str">
        <f t="shared" si="0"/>
        <v>PASS</v>
      </c>
      <c r="E14" s="26" t="s">
        <v>161</v>
      </c>
    </row>
    <row r="15" spans="1:5" x14ac:dyDescent="0.25">
      <c r="A15" s="22" t="s">
        <v>162</v>
      </c>
      <c r="B15" s="23">
        <f>SUMIFS('Daily Energy'!$D$2:$D$366,'Daily Energy'!$C$2:$C$366,"No")</f>
        <v>0</v>
      </c>
      <c r="C15" s="24">
        <v>0</v>
      </c>
      <c r="D15" s="25" t="str">
        <f t="shared" si="0"/>
        <v>PASS</v>
      </c>
      <c r="E15" s="26" t="s">
        <v>163</v>
      </c>
    </row>
    <row r="16" spans="1:5" x14ac:dyDescent="0.25">
      <c r="A16" s="22" t="s">
        <v>164</v>
      </c>
      <c r="B16" s="23">
        <f>COUNTIFS('Daily Energy'!$C$2:$C$366,"Yes",'Daily Energy'!$D$2:$D$366,0)</f>
        <v>0</v>
      </c>
      <c r="C16" s="24">
        <v>0</v>
      </c>
      <c r="D16" s="25" t="str">
        <f t="shared" si="0"/>
        <v>PASS</v>
      </c>
      <c r="E16" s="26"/>
    </row>
    <row r="18" spans="1:2" ht="13.8" x14ac:dyDescent="0.25">
      <c r="A18" s="29" t="s">
        <v>165</v>
      </c>
      <c r="B18" s="29" t="str">
        <f>IF(COUNTIF(D4:D16,"FAIL")=0,"ALL PASS",COUNTIF(D4:D16,"FAIL")&amp;" FAIL")</f>
        <v>ALL PASS</v>
      </c>
    </row>
  </sheetData>
  <conditionalFormatting sqref="D4:D16">
    <cfRule type="cellIs" dxfId="3" priority="2" operator="equal">
      <formula>"FAIL"</formula>
    </cfRule>
    <cfRule type="cellIs" dxfId="2" priority="3" operator="equal">
      <formula>"PASS"</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66"/>
  <sheetViews>
    <sheetView zoomScaleNormal="100" workbookViewId="0">
      <pane ySplit="1" topLeftCell="A249" activePane="bottomLeft" state="frozen"/>
      <selection pane="bottomLeft"/>
    </sheetView>
  </sheetViews>
  <sheetFormatPr defaultColWidth="8.6640625" defaultRowHeight="13.2" x14ac:dyDescent="0.25"/>
  <cols>
    <col min="1" max="1" width="13" customWidth="1"/>
    <col min="2" max="2" width="11" customWidth="1"/>
    <col min="3" max="4" width="14" customWidth="1"/>
    <col min="5" max="9" width="11" customWidth="1"/>
    <col min="10" max="10" width="13" customWidth="1"/>
    <col min="11" max="11" width="11" customWidth="1"/>
    <col min="12" max="13" width="13" customWidth="1"/>
    <col min="14" max="14" width="10" customWidth="1"/>
    <col min="15" max="15" width="3" customWidth="1"/>
    <col min="16" max="16" width="11" customWidth="1"/>
    <col min="17" max="17" width="13" customWidth="1"/>
    <col min="18" max="18" width="14" customWidth="1"/>
    <col min="19" max="20" width="11" customWidth="1"/>
    <col min="21" max="21" width="3" customWidth="1"/>
    <col min="22" max="22" width="60" customWidth="1"/>
  </cols>
  <sheetData>
    <row r="1" spans="1:22" ht="30" customHeight="1" x14ac:dyDescent="0.25">
      <c r="A1" s="21" t="s">
        <v>101</v>
      </c>
      <c r="B1" s="21" t="s">
        <v>102</v>
      </c>
      <c r="C1" s="21" t="s">
        <v>103</v>
      </c>
      <c r="D1" s="21" t="s">
        <v>104</v>
      </c>
      <c r="E1" s="21" t="s">
        <v>105</v>
      </c>
      <c r="F1" s="21" t="s">
        <v>106</v>
      </c>
      <c r="G1" s="21" t="s">
        <v>107</v>
      </c>
      <c r="H1" s="21" t="s">
        <v>166</v>
      </c>
      <c r="I1" s="21" t="s">
        <v>167</v>
      </c>
      <c r="J1" s="21" t="s">
        <v>168</v>
      </c>
      <c r="K1" s="21" t="s">
        <v>169</v>
      </c>
      <c r="L1" s="21" t="s">
        <v>170</v>
      </c>
      <c r="M1" s="21" t="s">
        <v>171</v>
      </c>
      <c r="N1" s="21" t="s">
        <v>172</v>
      </c>
      <c r="P1" s="30" t="s">
        <v>173</v>
      </c>
      <c r="Q1" s="30" t="s">
        <v>101</v>
      </c>
      <c r="R1" s="30" t="s">
        <v>104</v>
      </c>
      <c r="S1" s="30" t="s">
        <v>105</v>
      </c>
      <c r="T1" s="30" t="s">
        <v>166</v>
      </c>
      <c r="V1" s="31" t="s">
        <v>174</v>
      </c>
    </row>
    <row r="2" spans="1:22" x14ac:dyDescent="0.25">
      <c r="A2" s="32">
        <f>'Daily Energy'!A2</f>
        <v>45748</v>
      </c>
      <c r="B2" s="33" t="str">
        <f>'Daily Energy'!B2</f>
        <v>Tuesday</v>
      </c>
      <c r="C2" s="33" t="str">
        <f>'Daily Energy'!C2</f>
        <v>Yes</v>
      </c>
      <c r="D2" s="34">
        <f>'Daily Energy'!D2</f>
        <v>1672</v>
      </c>
      <c r="E2" s="35">
        <f>'Daily Energy'!E2</f>
        <v>22.9</v>
      </c>
      <c r="F2" s="34">
        <f>'Daily Energy'!F2</f>
        <v>11285</v>
      </c>
      <c r="G2" s="34">
        <f>'Daily Energy'!G2</f>
        <v>1824</v>
      </c>
      <c r="H2" s="34">
        <f t="shared" ref="H2:H65" si="0">F2+G2</f>
        <v>13109</v>
      </c>
      <c r="I2" s="36">
        <f t="shared" ref="I2:I65" si="1">DATE(YEAR(A2),MONTH(A2),1)</f>
        <v>45748</v>
      </c>
      <c r="J2" s="34" t="str">
        <f t="shared" ref="J2:J65" si="2">IF(C2="No",H2,"")</f>
        <v/>
      </c>
      <c r="K2" s="34">
        <f t="shared" ref="K2:K65" si="3">IF(C2="Yes",H2,"")</f>
        <v>13109</v>
      </c>
      <c r="L2" s="33">
        <f>IF(AND(C2="No",H2&gt;'Analysis Summary'!$B$5),1,0)</f>
        <v>0</v>
      </c>
      <c r="M2" s="33" t="str">
        <f>IF(L2=1,SUM($L$2:L2),"")</f>
        <v/>
      </c>
      <c r="N2" s="33">
        <f>IF(C2="Yes",COUNTIF($C$2:C2,"Yes"),"")</f>
        <v>1</v>
      </c>
      <c r="P2" s="37">
        <v>1</v>
      </c>
      <c r="Q2" s="32">
        <f t="shared" ref="Q2:Q65" si="4">INDEX($A$2:$A$366,MATCH($P2,$N$2:$N$366,0))</f>
        <v>45748</v>
      </c>
      <c r="R2" s="34">
        <f t="shared" ref="R2:R65" si="5">INDEX($D$2:$D$366,MATCH($P2,$N$2:$N$366,0))</f>
        <v>1672</v>
      </c>
      <c r="S2" s="35">
        <f t="shared" ref="S2:S65" si="6">INDEX($E$2:$E$366,MATCH($P2,$N$2:$N$366,0))</f>
        <v>22.9</v>
      </c>
      <c r="T2" s="34">
        <f t="shared" ref="T2:T65" si="7">INDEX($H$2:$H$366,MATCH($P2,$N$2:$N$366,0))</f>
        <v>13109</v>
      </c>
      <c r="V2" s="20" t="s">
        <v>175</v>
      </c>
    </row>
    <row r="3" spans="1:22" x14ac:dyDescent="0.25">
      <c r="A3" s="32">
        <f>'Daily Energy'!A3</f>
        <v>45749</v>
      </c>
      <c r="B3" s="33" t="str">
        <f>'Daily Energy'!B3</f>
        <v>Wednesday</v>
      </c>
      <c r="C3" s="33" t="str">
        <f>'Daily Energy'!C3</f>
        <v>Yes</v>
      </c>
      <c r="D3" s="34">
        <f>'Daily Energy'!D3</f>
        <v>1476</v>
      </c>
      <c r="E3" s="35">
        <f>'Daily Energy'!E3</f>
        <v>25.9</v>
      </c>
      <c r="F3" s="34">
        <f>'Daily Energy'!F3</f>
        <v>9783</v>
      </c>
      <c r="G3" s="34">
        <f>'Daily Energy'!G3</f>
        <v>1470</v>
      </c>
      <c r="H3" s="34">
        <f t="shared" si="0"/>
        <v>11253</v>
      </c>
      <c r="I3" s="36">
        <f t="shared" si="1"/>
        <v>45748</v>
      </c>
      <c r="J3" s="34" t="str">
        <f t="shared" si="2"/>
        <v/>
      </c>
      <c r="K3" s="34">
        <f t="shared" si="3"/>
        <v>11253</v>
      </c>
      <c r="L3" s="33">
        <f>IF(AND(C3="No",H3&gt;'Analysis Summary'!$B$5),1,0)</f>
        <v>0</v>
      </c>
      <c r="M3" s="33" t="str">
        <f>IF(L3=1,SUM($L$2:L3),"")</f>
        <v/>
      </c>
      <c r="N3" s="33">
        <f>IF(C3="Yes",COUNTIF($C$2:C3,"Yes"),"")</f>
        <v>2</v>
      </c>
      <c r="P3" s="37">
        <v>2</v>
      </c>
      <c r="Q3" s="32">
        <f t="shared" si="4"/>
        <v>45749</v>
      </c>
      <c r="R3" s="34">
        <f t="shared" si="5"/>
        <v>1476</v>
      </c>
      <c r="S3" s="35">
        <f t="shared" si="6"/>
        <v>25.9</v>
      </c>
      <c r="T3" s="34">
        <f t="shared" si="7"/>
        <v>11253</v>
      </c>
      <c r="V3" s="20" t="s">
        <v>176</v>
      </c>
    </row>
    <row r="4" spans="1:22" x14ac:dyDescent="0.25">
      <c r="A4" s="32">
        <f>'Daily Energy'!A4</f>
        <v>45750</v>
      </c>
      <c r="B4" s="33" t="str">
        <f>'Daily Energy'!B4</f>
        <v>Thursday</v>
      </c>
      <c r="C4" s="33" t="str">
        <f>'Daily Energy'!C4</f>
        <v>Yes</v>
      </c>
      <c r="D4" s="34">
        <f>'Daily Energy'!D4</f>
        <v>1705</v>
      </c>
      <c r="E4" s="35">
        <f>'Daily Energy'!E4</f>
        <v>25.2</v>
      </c>
      <c r="F4" s="34">
        <f>'Daily Energy'!F4</f>
        <v>11177</v>
      </c>
      <c r="G4" s="34">
        <f>'Daily Energy'!G4</f>
        <v>1940</v>
      </c>
      <c r="H4" s="34">
        <f t="shared" si="0"/>
        <v>13117</v>
      </c>
      <c r="I4" s="36">
        <f t="shared" si="1"/>
        <v>45748</v>
      </c>
      <c r="J4" s="34" t="str">
        <f t="shared" si="2"/>
        <v/>
      </c>
      <c r="K4" s="34">
        <f t="shared" si="3"/>
        <v>13117</v>
      </c>
      <c r="L4" s="33">
        <f>IF(AND(C4="No",H4&gt;'Analysis Summary'!$B$5),1,0)</f>
        <v>0</v>
      </c>
      <c r="M4" s="33" t="str">
        <f>IF(L4=1,SUM($L$2:L4),"")</f>
        <v/>
      </c>
      <c r="N4" s="33">
        <f>IF(C4="Yes",COUNTIF($C$2:C4,"Yes"),"")</f>
        <v>3</v>
      </c>
      <c r="P4" s="37">
        <v>3</v>
      </c>
      <c r="Q4" s="32">
        <f t="shared" si="4"/>
        <v>45750</v>
      </c>
      <c r="R4" s="34">
        <f t="shared" si="5"/>
        <v>1705</v>
      </c>
      <c r="S4" s="35">
        <f t="shared" si="6"/>
        <v>25.2</v>
      </c>
      <c r="T4" s="34">
        <f t="shared" si="7"/>
        <v>13117</v>
      </c>
      <c r="V4" s="20" t="s">
        <v>177</v>
      </c>
    </row>
    <row r="5" spans="1:22" x14ac:dyDescent="0.25">
      <c r="A5" s="32">
        <f>'Daily Energy'!A5</f>
        <v>45751</v>
      </c>
      <c r="B5" s="33" t="str">
        <f>'Daily Energy'!B5</f>
        <v>Friday</v>
      </c>
      <c r="C5" s="33" t="str">
        <f>'Daily Energy'!C5</f>
        <v>Yes</v>
      </c>
      <c r="D5" s="34">
        <f>'Daily Energy'!D5</f>
        <v>1902</v>
      </c>
      <c r="E5" s="35">
        <f>'Daily Energy'!E5</f>
        <v>25</v>
      </c>
      <c r="F5" s="34">
        <f>'Daily Energy'!F5</f>
        <v>12217</v>
      </c>
      <c r="G5" s="34">
        <f>'Daily Energy'!G5</f>
        <v>2026</v>
      </c>
      <c r="H5" s="34">
        <f t="shared" si="0"/>
        <v>14243</v>
      </c>
      <c r="I5" s="36">
        <f t="shared" si="1"/>
        <v>45748</v>
      </c>
      <c r="J5" s="34" t="str">
        <f t="shared" si="2"/>
        <v/>
      </c>
      <c r="K5" s="34">
        <f t="shared" si="3"/>
        <v>14243</v>
      </c>
      <c r="L5" s="33">
        <f>IF(AND(C5="No",H5&gt;'Analysis Summary'!$B$5),1,0)</f>
        <v>0</v>
      </c>
      <c r="M5" s="33" t="str">
        <f>IF(L5=1,SUM($L$2:L5),"")</f>
        <v/>
      </c>
      <c r="N5" s="33">
        <f>IF(C5="Yes",COUNTIF($C$2:C5,"Yes"),"")</f>
        <v>4</v>
      </c>
      <c r="P5" s="37">
        <v>4</v>
      </c>
      <c r="Q5" s="32">
        <f t="shared" si="4"/>
        <v>45751</v>
      </c>
      <c r="R5" s="34">
        <f t="shared" si="5"/>
        <v>1902</v>
      </c>
      <c r="S5" s="35">
        <f t="shared" si="6"/>
        <v>25</v>
      </c>
      <c r="T5" s="34">
        <f t="shared" si="7"/>
        <v>14243</v>
      </c>
    </row>
    <row r="6" spans="1:22" x14ac:dyDescent="0.25">
      <c r="A6" s="32">
        <f>'Daily Energy'!A6</f>
        <v>45752</v>
      </c>
      <c r="B6" s="33" t="str">
        <f>'Daily Energy'!B6</f>
        <v>Saturday</v>
      </c>
      <c r="C6" s="33" t="str">
        <f>'Daily Energy'!C6</f>
        <v>Yes</v>
      </c>
      <c r="D6" s="34">
        <f>'Daily Energy'!D6</f>
        <v>1848</v>
      </c>
      <c r="E6" s="35">
        <f>'Daily Energy'!E6</f>
        <v>25.9</v>
      </c>
      <c r="F6" s="34">
        <f>'Daily Energy'!F6</f>
        <v>12005</v>
      </c>
      <c r="G6" s="34">
        <f>'Daily Energy'!G6</f>
        <v>1641</v>
      </c>
      <c r="H6" s="34">
        <f t="shared" si="0"/>
        <v>13646</v>
      </c>
      <c r="I6" s="36">
        <f t="shared" si="1"/>
        <v>45748</v>
      </c>
      <c r="J6" s="34" t="str">
        <f t="shared" si="2"/>
        <v/>
      </c>
      <c r="K6" s="34">
        <f t="shared" si="3"/>
        <v>13646</v>
      </c>
      <c r="L6" s="33">
        <f>IF(AND(C6="No",H6&gt;'Analysis Summary'!$B$5),1,0)</f>
        <v>0</v>
      </c>
      <c r="M6" s="33" t="str">
        <f>IF(L6=1,SUM($L$2:L6),"")</f>
        <v/>
      </c>
      <c r="N6" s="33">
        <f>IF(C6="Yes",COUNTIF($C$2:C6,"Yes"),"")</f>
        <v>5</v>
      </c>
      <c r="P6" s="37">
        <v>5</v>
      </c>
      <c r="Q6" s="32">
        <f t="shared" si="4"/>
        <v>45752</v>
      </c>
      <c r="R6" s="34">
        <f t="shared" si="5"/>
        <v>1848</v>
      </c>
      <c r="S6" s="35">
        <f t="shared" si="6"/>
        <v>25.9</v>
      </c>
      <c r="T6" s="34">
        <f t="shared" si="7"/>
        <v>13646</v>
      </c>
    </row>
    <row r="7" spans="1:22" x14ac:dyDescent="0.25">
      <c r="A7" s="32">
        <f>'Daily Energy'!A7</f>
        <v>45753</v>
      </c>
      <c r="B7" s="33" t="str">
        <f>'Daily Energy'!B7</f>
        <v>Sunday</v>
      </c>
      <c r="C7" s="33" t="str">
        <f>'Daily Energy'!C7</f>
        <v>No</v>
      </c>
      <c r="D7" s="34">
        <f>'Daily Energy'!D7</f>
        <v>0</v>
      </c>
      <c r="E7" s="35">
        <f>'Daily Energy'!E7</f>
        <v>24.3</v>
      </c>
      <c r="F7" s="34">
        <f>'Daily Energy'!F7</f>
        <v>2486</v>
      </c>
      <c r="G7" s="34">
        <f>'Daily Energy'!G7</f>
        <v>1577</v>
      </c>
      <c r="H7" s="34">
        <f t="shared" si="0"/>
        <v>4063</v>
      </c>
      <c r="I7" s="36">
        <f t="shared" si="1"/>
        <v>45748</v>
      </c>
      <c r="J7" s="34">
        <f t="shared" si="2"/>
        <v>4063</v>
      </c>
      <c r="K7" s="34" t="str">
        <f t="shared" si="3"/>
        <v/>
      </c>
      <c r="L7" s="33">
        <f>IF(AND(C7="No",H7&gt;'Analysis Summary'!$B$5),1,0)</f>
        <v>0</v>
      </c>
      <c r="M7" s="33" t="str">
        <f>IF(L7=1,SUM($L$2:L7),"")</f>
        <v/>
      </c>
      <c r="N7" s="33" t="str">
        <f>IF(C7="Yes",COUNTIF($C$2:C7,"Yes"),"")</f>
        <v/>
      </c>
      <c r="P7" s="37">
        <v>6</v>
      </c>
      <c r="Q7" s="32">
        <f t="shared" si="4"/>
        <v>45754</v>
      </c>
      <c r="R7" s="34">
        <f t="shared" si="5"/>
        <v>1705</v>
      </c>
      <c r="S7" s="35">
        <f t="shared" si="6"/>
        <v>28.6</v>
      </c>
      <c r="T7" s="34">
        <f t="shared" si="7"/>
        <v>13371</v>
      </c>
    </row>
    <row r="8" spans="1:22" x14ac:dyDescent="0.25">
      <c r="A8" s="32">
        <f>'Daily Energy'!A8</f>
        <v>45754</v>
      </c>
      <c r="B8" s="33" t="str">
        <f>'Daily Energy'!B8</f>
        <v>Monday</v>
      </c>
      <c r="C8" s="33" t="str">
        <f>'Daily Energy'!C8</f>
        <v>Yes</v>
      </c>
      <c r="D8" s="34">
        <f>'Daily Energy'!D8</f>
        <v>1705</v>
      </c>
      <c r="E8" s="35">
        <f>'Daily Energy'!E8</f>
        <v>28.6</v>
      </c>
      <c r="F8" s="34">
        <f>'Daily Energy'!F8</f>
        <v>11877</v>
      </c>
      <c r="G8" s="34">
        <f>'Daily Energy'!G8</f>
        <v>1494</v>
      </c>
      <c r="H8" s="34">
        <f t="shared" si="0"/>
        <v>13371</v>
      </c>
      <c r="I8" s="36">
        <f t="shared" si="1"/>
        <v>45748</v>
      </c>
      <c r="J8" s="34" t="str">
        <f t="shared" si="2"/>
        <v/>
      </c>
      <c r="K8" s="34">
        <f t="shared" si="3"/>
        <v>13371</v>
      </c>
      <c r="L8" s="33">
        <f>IF(AND(C8="No",H8&gt;'Analysis Summary'!$B$5),1,0)</f>
        <v>0</v>
      </c>
      <c r="M8" s="33" t="str">
        <f>IF(L8=1,SUM($L$2:L8),"")</f>
        <v/>
      </c>
      <c r="N8" s="33">
        <f>IF(C8="Yes",COUNTIF($C$2:C8,"Yes"),"")</f>
        <v>6</v>
      </c>
      <c r="P8" s="37">
        <v>7</v>
      </c>
      <c r="Q8" s="32">
        <f t="shared" si="4"/>
        <v>45755</v>
      </c>
      <c r="R8" s="34">
        <f t="shared" si="5"/>
        <v>1846</v>
      </c>
      <c r="S8" s="35">
        <f t="shared" si="6"/>
        <v>26.7</v>
      </c>
      <c r="T8" s="34">
        <f t="shared" si="7"/>
        <v>14038</v>
      </c>
    </row>
    <row r="9" spans="1:22" x14ac:dyDescent="0.25">
      <c r="A9" s="32">
        <f>'Daily Energy'!A9</f>
        <v>45755</v>
      </c>
      <c r="B9" s="33" t="str">
        <f>'Daily Energy'!B9</f>
        <v>Tuesday</v>
      </c>
      <c r="C9" s="33" t="str">
        <f>'Daily Energy'!C9</f>
        <v>Yes</v>
      </c>
      <c r="D9" s="34">
        <f>'Daily Energy'!D9</f>
        <v>1846</v>
      </c>
      <c r="E9" s="35">
        <f>'Daily Energy'!E9</f>
        <v>26.7</v>
      </c>
      <c r="F9" s="34">
        <f>'Daily Energy'!F9</f>
        <v>12109</v>
      </c>
      <c r="G9" s="34">
        <f>'Daily Energy'!G9</f>
        <v>1929</v>
      </c>
      <c r="H9" s="34">
        <f t="shared" si="0"/>
        <v>14038</v>
      </c>
      <c r="I9" s="36">
        <f t="shared" si="1"/>
        <v>45748</v>
      </c>
      <c r="J9" s="34" t="str">
        <f t="shared" si="2"/>
        <v/>
      </c>
      <c r="K9" s="34">
        <f t="shared" si="3"/>
        <v>14038</v>
      </c>
      <c r="L9" s="33">
        <f>IF(AND(C9="No",H9&gt;'Analysis Summary'!$B$5),1,0)</f>
        <v>0</v>
      </c>
      <c r="M9" s="33" t="str">
        <f>IF(L9=1,SUM($L$2:L9),"")</f>
        <v/>
      </c>
      <c r="N9" s="33">
        <f>IF(C9="Yes",COUNTIF($C$2:C9,"Yes"),"")</f>
        <v>7</v>
      </c>
      <c r="P9" s="37">
        <v>8</v>
      </c>
      <c r="Q9" s="32">
        <f t="shared" si="4"/>
        <v>45756</v>
      </c>
      <c r="R9" s="34">
        <f t="shared" si="5"/>
        <v>1991</v>
      </c>
      <c r="S9" s="35">
        <f t="shared" si="6"/>
        <v>26.5</v>
      </c>
      <c r="T9" s="34">
        <f t="shared" si="7"/>
        <v>14557</v>
      </c>
    </row>
    <row r="10" spans="1:22" x14ac:dyDescent="0.25">
      <c r="A10" s="32">
        <f>'Daily Energy'!A10</f>
        <v>45756</v>
      </c>
      <c r="B10" s="33" t="str">
        <f>'Daily Energy'!B10</f>
        <v>Wednesday</v>
      </c>
      <c r="C10" s="33" t="str">
        <f>'Daily Energy'!C10</f>
        <v>Yes</v>
      </c>
      <c r="D10" s="34">
        <f>'Daily Energy'!D10</f>
        <v>1991</v>
      </c>
      <c r="E10" s="35">
        <f>'Daily Energy'!E10</f>
        <v>26.5</v>
      </c>
      <c r="F10" s="34">
        <f>'Daily Energy'!F10</f>
        <v>12843</v>
      </c>
      <c r="G10" s="34">
        <f>'Daily Energy'!G10</f>
        <v>1714</v>
      </c>
      <c r="H10" s="34">
        <f t="shared" si="0"/>
        <v>14557</v>
      </c>
      <c r="I10" s="36">
        <f t="shared" si="1"/>
        <v>45748</v>
      </c>
      <c r="J10" s="34" t="str">
        <f t="shared" si="2"/>
        <v/>
      </c>
      <c r="K10" s="34">
        <f t="shared" si="3"/>
        <v>14557</v>
      </c>
      <c r="L10" s="33">
        <f>IF(AND(C10="No",H10&gt;'Analysis Summary'!$B$5),1,0)</f>
        <v>0</v>
      </c>
      <c r="M10" s="33" t="str">
        <f>IF(L10=1,SUM($L$2:L10),"")</f>
        <v/>
      </c>
      <c r="N10" s="33">
        <f>IF(C10="Yes",COUNTIF($C$2:C10,"Yes"),"")</f>
        <v>8</v>
      </c>
      <c r="P10" s="37">
        <v>9</v>
      </c>
      <c r="Q10" s="32">
        <f t="shared" si="4"/>
        <v>45757</v>
      </c>
      <c r="R10" s="34">
        <f t="shared" si="5"/>
        <v>1529</v>
      </c>
      <c r="S10" s="35">
        <f t="shared" si="6"/>
        <v>26.4</v>
      </c>
      <c r="T10" s="34">
        <f t="shared" si="7"/>
        <v>12029</v>
      </c>
    </row>
    <row r="11" spans="1:22" x14ac:dyDescent="0.25">
      <c r="A11" s="32">
        <f>'Daily Energy'!A11</f>
        <v>45757</v>
      </c>
      <c r="B11" s="33" t="str">
        <f>'Daily Energy'!B11</f>
        <v>Thursday</v>
      </c>
      <c r="C11" s="33" t="str">
        <f>'Daily Energy'!C11</f>
        <v>Yes</v>
      </c>
      <c r="D11" s="34">
        <f>'Daily Energy'!D11</f>
        <v>1529</v>
      </c>
      <c r="E11" s="35">
        <f>'Daily Energy'!E11</f>
        <v>26.4</v>
      </c>
      <c r="F11" s="34">
        <f>'Daily Energy'!F11</f>
        <v>10330</v>
      </c>
      <c r="G11" s="34">
        <f>'Daily Energy'!G11</f>
        <v>1699</v>
      </c>
      <c r="H11" s="34">
        <f t="shared" si="0"/>
        <v>12029</v>
      </c>
      <c r="I11" s="36">
        <f t="shared" si="1"/>
        <v>45748</v>
      </c>
      <c r="J11" s="34" t="str">
        <f t="shared" si="2"/>
        <v/>
      </c>
      <c r="K11" s="34">
        <f t="shared" si="3"/>
        <v>12029</v>
      </c>
      <c r="L11" s="33">
        <f>IF(AND(C11="No",H11&gt;'Analysis Summary'!$B$5),1,0)</f>
        <v>0</v>
      </c>
      <c r="M11" s="33" t="str">
        <f>IF(L11=1,SUM($L$2:L11),"")</f>
        <v/>
      </c>
      <c r="N11" s="33">
        <f>IF(C11="Yes",COUNTIF($C$2:C11,"Yes"),"")</f>
        <v>9</v>
      </c>
      <c r="P11" s="37">
        <v>10</v>
      </c>
      <c r="Q11" s="32">
        <f t="shared" si="4"/>
        <v>45758</v>
      </c>
      <c r="R11" s="34">
        <f t="shared" si="5"/>
        <v>1828</v>
      </c>
      <c r="S11" s="35">
        <f t="shared" si="6"/>
        <v>26.8</v>
      </c>
      <c r="T11" s="34">
        <f t="shared" si="7"/>
        <v>14225</v>
      </c>
    </row>
    <row r="12" spans="1:22" x14ac:dyDescent="0.25">
      <c r="A12" s="32">
        <f>'Daily Energy'!A12</f>
        <v>45758</v>
      </c>
      <c r="B12" s="33" t="str">
        <f>'Daily Energy'!B12</f>
        <v>Friday</v>
      </c>
      <c r="C12" s="33" t="str">
        <f>'Daily Energy'!C12</f>
        <v>Yes</v>
      </c>
      <c r="D12" s="34">
        <f>'Daily Energy'!D12</f>
        <v>1828</v>
      </c>
      <c r="E12" s="35">
        <f>'Daily Energy'!E12</f>
        <v>26.8</v>
      </c>
      <c r="F12" s="34">
        <f>'Daily Energy'!F12</f>
        <v>12148</v>
      </c>
      <c r="G12" s="34">
        <f>'Daily Energy'!G12</f>
        <v>2077</v>
      </c>
      <c r="H12" s="34">
        <f t="shared" si="0"/>
        <v>14225</v>
      </c>
      <c r="I12" s="36">
        <f t="shared" si="1"/>
        <v>45748</v>
      </c>
      <c r="J12" s="34" t="str">
        <f t="shared" si="2"/>
        <v/>
      </c>
      <c r="K12" s="34">
        <f t="shared" si="3"/>
        <v>14225</v>
      </c>
      <c r="L12" s="33">
        <f>IF(AND(C12="No",H12&gt;'Analysis Summary'!$B$5),1,0)</f>
        <v>0</v>
      </c>
      <c r="M12" s="33" t="str">
        <f>IF(L12=1,SUM($L$2:L12),"")</f>
        <v/>
      </c>
      <c r="N12" s="33">
        <f>IF(C12="Yes",COUNTIF($C$2:C12,"Yes"),"")</f>
        <v>10</v>
      </c>
      <c r="P12" s="37">
        <v>11</v>
      </c>
      <c r="Q12" s="32">
        <f t="shared" si="4"/>
        <v>45759</v>
      </c>
      <c r="R12" s="34">
        <f t="shared" si="5"/>
        <v>1710</v>
      </c>
      <c r="S12" s="35">
        <f t="shared" si="6"/>
        <v>24</v>
      </c>
      <c r="T12" s="34">
        <f t="shared" si="7"/>
        <v>13195</v>
      </c>
    </row>
    <row r="13" spans="1:22" x14ac:dyDescent="0.25">
      <c r="A13" s="32">
        <f>'Daily Energy'!A13</f>
        <v>45759</v>
      </c>
      <c r="B13" s="33" t="str">
        <f>'Daily Energy'!B13</f>
        <v>Saturday</v>
      </c>
      <c r="C13" s="33" t="str">
        <f>'Daily Energy'!C13</f>
        <v>Yes</v>
      </c>
      <c r="D13" s="34">
        <f>'Daily Energy'!D13</f>
        <v>1710</v>
      </c>
      <c r="E13" s="35">
        <f>'Daily Energy'!E13</f>
        <v>24</v>
      </c>
      <c r="F13" s="34">
        <f>'Daily Energy'!F13</f>
        <v>11688</v>
      </c>
      <c r="G13" s="34">
        <f>'Daily Energy'!G13</f>
        <v>1507</v>
      </c>
      <c r="H13" s="34">
        <f t="shared" si="0"/>
        <v>13195</v>
      </c>
      <c r="I13" s="36">
        <f t="shared" si="1"/>
        <v>45748</v>
      </c>
      <c r="J13" s="34" t="str">
        <f t="shared" si="2"/>
        <v/>
      </c>
      <c r="K13" s="34">
        <f t="shared" si="3"/>
        <v>13195</v>
      </c>
      <c r="L13" s="33">
        <f>IF(AND(C13="No",H13&gt;'Analysis Summary'!$B$5),1,0)</f>
        <v>0</v>
      </c>
      <c r="M13" s="33" t="str">
        <f>IF(L13=1,SUM($L$2:L13),"")</f>
        <v/>
      </c>
      <c r="N13" s="33">
        <f>IF(C13="Yes",COUNTIF($C$2:C13,"Yes"),"")</f>
        <v>11</v>
      </c>
      <c r="P13" s="37">
        <v>12</v>
      </c>
      <c r="Q13" s="32">
        <f t="shared" si="4"/>
        <v>45761</v>
      </c>
      <c r="R13" s="34">
        <f t="shared" si="5"/>
        <v>1768</v>
      </c>
      <c r="S13" s="35">
        <f t="shared" si="6"/>
        <v>28.3</v>
      </c>
      <c r="T13" s="34">
        <f t="shared" si="7"/>
        <v>13363</v>
      </c>
    </row>
    <row r="14" spans="1:22" x14ac:dyDescent="0.25">
      <c r="A14" s="32">
        <f>'Daily Energy'!A14</f>
        <v>45760</v>
      </c>
      <c r="B14" s="33" t="str">
        <f>'Daily Energy'!B14</f>
        <v>Sunday</v>
      </c>
      <c r="C14" s="33" t="str">
        <f>'Daily Energy'!C14</f>
        <v>No</v>
      </c>
      <c r="D14" s="34">
        <f>'Daily Energy'!D14</f>
        <v>0</v>
      </c>
      <c r="E14" s="35">
        <f>'Daily Energy'!E14</f>
        <v>26</v>
      </c>
      <c r="F14" s="34">
        <f>'Daily Energy'!F14</f>
        <v>2014</v>
      </c>
      <c r="G14" s="34">
        <f>'Daily Energy'!G14</f>
        <v>1475</v>
      </c>
      <c r="H14" s="34">
        <f t="shared" si="0"/>
        <v>3489</v>
      </c>
      <c r="I14" s="36">
        <f t="shared" si="1"/>
        <v>45748</v>
      </c>
      <c r="J14" s="34">
        <f t="shared" si="2"/>
        <v>3489</v>
      </c>
      <c r="K14" s="34" t="str">
        <f t="shared" si="3"/>
        <v/>
      </c>
      <c r="L14" s="33">
        <f>IF(AND(C14="No",H14&gt;'Analysis Summary'!$B$5),1,0)</f>
        <v>0</v>
      </c>
      <c r="M14" s="33" t="str">
        <f>IF(L14=1,SUM($L$2:L14),"")</f>
        <v/>
      </c>
      <c r="N14" s="33" t="str">
        <f>IF(C14="Yes",COUNTIF($C$2:C14,"Yes"),"")</f>
        <v/>
      </c>
      <c r="P14" s="37">
        <v>13</v>
      </c>
      <c r="Q14" s="32">
        <f t="shared" si="4"/>
        <v>45762</v>
      </c>
      <c r="R14" s="34">
        <f t="shared" si="5"/>
        <v>1591</v>
      </c>
      <c r="S14" s="35">
        <f t="shared" si="6"/>
        <v>27.7</v>
      </c>
      <c r="T14" s="34">
        <f t="shared" si="7"/>
        <v>12128</v>
      </c>
    </row>
    <row r="15" spans="1:22" x14ac:dyDescent="0.25">
      <c r="A15" s="32">
        <f>'Daily Energy'!A15</f>
        <v>45761</v>
      </c>
      <c r="B15" s="33" t="str">
        <f>'Daily Energy'!B15</f>
        <v>Monday</v>
      </c>
      <c r="C15" s="33" t="str">
        <f>'Daily Energy'!C15</f>
        <v>Yes</v>
      </c>
      <c r="D15" s="34">
        <f>'Daily Energy'!D15</f>
        <v>1768</v>
      </c>
      <c r="E15" s="35">
        <f>'Daily Energy'!E15</f>
        <v>28.3</v>
      </c>
      <c r="F15" s="34">
        <f>'Daily Energy'!F15</f>
        <v>11944</v>
      </c>
      <c r="G15" s="34">
        <f>'Daily Energy'!G15</f>
        <v>1419</v>
      </c>
      <c r="H15" s="34">
        <f t="shared" si="0"/>
        <v>13363</v>
      </c>
      <c r="I15" s="36">
        <f t="shared" si="1"/>
        <v>45748</v>
      </c>
      <c r="J15" s="34" t="str">
        <f t="shared" si="2"/>
        <v/>
      </c>
      <c r="K15" s="34">
        <f t="shared" si="3"/>
        <v>13363</v>
      </c>
      <c r="L15" s="33">
        <f>IF(AND(C15="No",H15&gt;'Analysis Summary'!$B$5),1,0)</f>
        <v>0</v>
      </c>
      <c r="M15" s="33" t="str">
        <f>IF(L15=1,SUM($L$2:L15),"")</f>
        <v/>
      </c>
      <c r="N15" s="33">
        <f>IF(C15="Yes",COUNTIF($C$2:C15,"Yes"),"")</f>
        <v>12</v>
      </c>
      <c r="P15" s="37">
        <v>14</v>
      </c>
      <c r="Q15" s="32">
        <f t="shared" si="4"/>
        <v>45763</v>
      </c>
      <c r="R15" s="34">
        <f t="shared" si="5"/>
        <v>1813</v>
      </c>
      <c r="S15" s="35">
        <f t="shared" si="6"/>
        <v>27.3</v>
      </c>
      <c r="T15" s="34">
        <f t="shared" si="7"/>
        <v>13753</v>
      </c>
    </row>
    <row r="16" spans="1:22" x14ac:dyDescent="0.25">
      <c r="A16" s="32">
        <f>'Daily Energy'!A16</f>
        <v>45762</v>
      </c>
      <c r="B16" s="33" t="str">
        <f>'Daily Energy'!B16</f>
        <v>Tuesday</v>
      </c>
      <c r="C16" s="33" t="str">
        <f>'Daily Energy'!C16</f>
        <v>Yes</v>
      </c>
      <c r="D16" s="34">
        <f>'Daily Energy'!D16</f>
        <v>1591</v>
      </c>
      <c r="E16" s="35">
        <f>'Daily Energy'!E16</f>
        <v>27.7</v>
      </c>
      <c r="F16" s="34">
        <f>'Daily Energy'!F16</f>
        <v>11009</v>
      </c>
      <c r="G16" s="34">
        <f>'Daily Energy'!G16</f>
        <v>1119</v>
      </c>
      <c r="H16" s="34">
        <f t="shared" si="0"/>
        <v>12128</v>
      </c>
      <c r="I16" s="36">
        <f t="shared" si="1"/>
        <v>45748</v>
      </c>
      <c r="J16" s="34" t="str">
        <f t="shared" si="2"/>
        <v/>
      </c>
      <c r="K16" s="34">
        <f t="shared" si="3"/>
        <v>12128</v>
      </c>
      <c r="L16" s="33">
        <f>IF(AND(C16="No",H16&gt;'Analysis Summary'!$B$5),1,0)</f>
        <v>0</v>
      </c>
      <c r="M16" s="33" t="str">
        <f>IF(L16=1,SUM($L$2:L16),"")</f>
        <v/>
      </c>
      <c r="N16" s="33">
        <f>IF(C16="Yes",COUNTIF($C$2:C16,"Yes"),"")</f>
        <v>13</v>
      </c>
      <c r="P16" s="37">
        <v>15</v>
      </c>
      <c r="Q16" s="32">
        <f t="shared" si="4"/>
        <v>45764</v>
      </c>
      <c r="R16" s="34">
        <f t="shared" si="5"/>
        <v>1724</v>
      </c>
      <c r="S16" s="35">
        <f t="shared" si="6"/>
        <v>28.2</v>
      </c>
      <c r="T16" s="34">
        <f t="shared" si="7"/>
        <v>13112</v>
      </c>
    </row>
    <row r="17" spans="1:20" x14ac:dyDescent="0.25">
      <c r="A17" s="32">
        <f>'Daily Energy'!A17</f>
        <v>45763</v>
      </c>
      <c r="B17" s="33" t="str">
        <f>'Daily Energy'!B17</f>
        <v>Wednesday</v>
      </c>
      <c r="C17" s="33" t="str">
        <f>'Daily Energy'!C17</f>
        <v>Yes</v>
      </c>
      <c r="D17" s="34">
        <f>'Daily Energy'!D17</f>
        <v>1813</v>
      </c>
      <c r="E17" s="35">
        <f>'Daily Energy'!E17</f>
        <v>27.3</v>
      </c>
      <c r="F17" s="34">
        <f>'Daily Energy'!F17</f>
        <v>11934</v>
      </c>
      <c r="G17" s="34">
        <f>'Daily Energy'!G17</f>
        <v>1819</v>
      </c>
      <c r="H17" s="34">
        <f t="shared" si="0"/>
        <v>13753</v>
      </c>
      <c r="I17" s="36">
        <f t="shared" si="1"/>
        <v>45748</v>
      </c>
      <c r="J17" s="34" t="str">
        <f t="shared" si="2"/>
        <v/>
      </c>
      <c r="K17" s="34">
        <f t="shared" si="3"/>
        <v>13753</v>
      </c>
      <c r="L17" s="33">
        <f>IF(AND(C17="No",H17&gt;'Analysis Summary'!$B$5),1,0)</f>
        <v>0</v>
      </c>
      <c r="M17" s="33" t="str">
        <f>IF(L17=1,SUM($L$2:L17),"")</f>
        <v/>
      </c>
      <c r="N17" s="33">
        <f>IF(C17="Yes",COUNTIF($C$2:C17,"Yes"),"")</f>
        <v>14</v>
      </c>
      <c r="P17" s="37">
        <v>16</v>
      </c>
      <c r="Q17" s="32">
        <f t="shared" si="4"/>
        <v>45765</v>
      </c>
      <c r="R17" s="34">
        <f t="shared" si="5"/>
        <v>1755</v>
      </c>
      <c r="S17" s="35">
        <f t="shared" si="6"/>
        <v>29.7</v>
      </c>
      <c r="T17" s="34">
        <f t="shared" si="7"/>
        <v>14054</v>
      </c>
    </row>
    <row r="18" spans="1:20" x14ac:dyDescent="0.25">
      <c r="A18" s="32">
        <f>'Daily Energy'!A18</f>
        <v>45764</v>
      </c>
      <c r="B18" s="33" t="str">
        <f>'Daily Energy'!B18</f>
        <v>Thursday</v>
      </c>
      <c r="C18" s="33" t="str">
        <f>'Daily Energy'!C18</f>
        <v>Yes</v>
      </c>
      <c r="D18" s="34">
        <f>'Daily Energy'!D18</f>
        <v>1724</v>
      </c>
      <c r="E18" s="35">
        <f>'Daily Energy'!E18</f>
        <v>28.2</v>
      </c>
      <c r="F18" s="34">
        <f>'Daily Energy'!F18</f>
        <v>11765</v>
      </c>
      <c r="G18" s="34">
        <f>'Daily Energy'!G18</f>
        <v>1347</v>
      </c>
      <c r="H18" s="34">
        <f t="shared" si="0"/>
        <v>13112</v>
      </c>
      <c r="I18" s="36">
        <f t="shared" si="1"/>
        <v>45748</v>
      </c>
      <c r="J18" s="34" t="str">
        <f t="shared" si="2"/>
        <v/>
      </c>
      <c r="K18" s="34">
        <f t="shared" si="3"/>
        <v>13112</v>
      </c>
      <c r="L18" s="33">
        <f>IF(AND(C18="No",H18&gt;'Analysis Summary'!$B$5),1,0)</f>
        <v>0</v>
      </c>
      <c r="M18" s="33" t="str">
        <f>IF(L18=1,SUM($L$2:L18),"")</f>
        <v/>
      </c>
      <c r="N18" s="33">
        <f>IF(C18="Yes",COUNTIF($C$2:C18,"Yes"),"")</f>
        <v>15</v>
      </c>
      <c r="P18" s="37">
        <v>17</v>
      </c>
      <c r="Q18" s="32">
        <f t="shared" si="4"/>
        <v>45766</v>
      </c>
      <c r="R18" s="34">
        <f t="shared" si="5"/>
        <v>1883</v>
      </c>
      <c r="S18" s="35">
        <f t="shared" si="6"/>
        <v>25.5</v>
      </c>
      <c r="T18" s="34">
        <f t="shared" si="7"/>
        <v>13659</v>
      </c>
    </row>
    <row r="19" spans="1:20" x14ac:dyDescent="0.25">
      <c r="A19" s="32">
        <f>'Daily Energy'!A19</f>
        <v>45765</v>
      </c>
      <c r="B19" s="33" t="str">
        <f>'Daily Energy'!B19</f>
        <v>Friday</v>
      </c>
      <c r="C19" s="33" t="str">
        <f>'Daily Energy'!C19</f>
        <v>Yes</v>
      </c>
      <c r="D19" s="34">
        <f>'Daily Energy'!D19</f>
        <v>1755</v>
      </c>
      <c r="E19" s="35">
        <f>'Daily Energy'!E19</f>
        <v>29.7</v>
      </c>
      <c r="F19" s="34">
        <f>'Daily Energy'!F19</f>
        <v>12468</v>
      </c>
      <c r="G19" s="34">
        <f>'Daily Energy'!G19</f>
        <v>1586</v>
      </c>
      <c r="H19" s="34">
        <f t="shared" si="0"/>
        <v>14054</v>
      </c>
      <c r="I19" s="36">
        <f t="shared" si="1"/>
        <v>45748</v>
      </c>
      <c r="J19" s="34" t="str">
        <f t="shared" si="2"/>
        <v/>
      </c>
      <c r="K19" s="34">
        <f t="shared" si="3"/>
        <v>14054</v>
      </c>
      <c r="L19" s="33">
        <f>IF(AND(C19="No",H19&gt;'Analysis Summary'!$B$5),1,0)</f>
        <v>0</v>
      </c>
      <c r="M19" s="33" t="str">
        <f>IF(L19=1,SUM($L$2:L19),"")</f>
        <v/>
      </c>
      <c r="N19" s="33">
        <f>IF(C19="Yes",COUNTIF($C$2:C19,"Yes"),"")</f>
        <v>16</v>
      </c>
      <c r="P19" s="37">
        <v>18</v>
      </c>
      <c r="Q19" s="32">
        <f t="shared" si="4"/>
        <v>45768</v>
      </c>
      <c r="R19" s="34">
        <f t="shared" si="5"/>
        <v>2058</v>
      </c>
      <c r="S19" s="35">
        <f t="shared" si="6"/>
        <v>24.5</v>
      </c>
      <c r="T19" s="34">
        <f t="shared" si="7"/>
        <v>14126</v>
      </c>
    </row>
    <row r="20" spans="1:20" x14ac:dyDescent="0.25">
      <c r="A20" s="32">
        <f>'Daily Energy'!A20</f>
        <v>45766</v>
      </c>
      <c r="B20" s="33" t="str">
        <f>'Daily Energy'!B20</f>
        <v>Saturday</v>
      </c>
      <c r="C20" s="33" t="str">
        <f>'Daily Energy'!C20</f>
        <v>Yes</v>
      </c>
      <c r="D20" s="34">
        <f>'Daily Energy'!D20</f>
        <v>1883</v>
      </c>
      <c r="E20" s="35">
        <f>'Daily Energy'!E20</f>
        <v>25.5</v>
      </c>
      <c r="F20" s="34">
        <f>'Daily Energy'!F20</f>
        <v>11922</v>
      </c>
      <c r="G20" s="34">
        <f>'Daily Energy'!G20</f>
        <v>1737</v>
      </c>
      <c r="H20" s="34">
        <f t="shared" si="0"/>
        <v>13659</v>
      </c>
      <c r="I20" s="36">
        <f t="shared" si="1"/>
        <v>45748</v>
      </c>
      <c r="J20" s="34" t="str">
        <f t="shared" si="2"/>
        <v/>
      </c>
      <c r="K20" s="34">
        <f t="shared" si="3"/>
        <v>13659</v>
      </c>
      <c r="L20" s="33">
        <f>IF(AND(C20="No",H20&gt;'Analysis Summary'!$B$5),1,0)</f>
        <v>0</v>
      </c>
      <c r="M20" s="33" t="str">
        <f>IF(L20=1,SUM($L$2:L20),"")</f>
        <v/>
      </c>
      <c r="N20" s="33">
        <f>IF(C20="Yes",COUNTIF($C$2:C20,"Yes"),"")</f>
        <v>17</v>
      </c>
      <c r="P20" s="37">
        <v>19</v>
      </c>
      <c r="Q20" s="32">
        <f t="shared" si="4"/>
        <v>45769</v>
      </c>
      <c r="R20" s="34">
        <f t="shared" si="5"/>
        <v>1750</v>
      </c>
      <c r="S20" s="35">
        <f t="shared" si="6"/>
        <v>25.6</v>
      </c>
      <c r="T20" s="34">
        <f t="shared" si="7"/>
        <v>13865</v>
      </c>
    </row>
    <row r="21" spans="1:20" x14ac:dyDescent="0.25">
      <c r="A21" s="32">
        <f>'Daily Energy'!A21</f>
        <v>45767</v>
      </c>
      <c r="B21" s="33" t="str">
        <f>'Daily Energy'!B21</f>
        <v>Sunday</v>
      </c>
      <c r="C21" s="33" t="str">
        <f>'Daily Energy'!C21</f>
        <v>No</v>
      </c>
      <c r="D21" s="34">
        <f>'Daily Energy'!D21</f>
        <v>0</v>
      </c>
      <c r="E21" s="35">
        <f>'Daily Energy'!E21</f>
        <v>25.1</v>
      </c>
      <c r="F21" s="34">
        <f>'Daily Energy'!F21</f>
        <v>2622</v>
      </c>
      <c r="G21" s="34">
        <f>'Daily Energy'!G21</f>
        <v>1496</v>
      </c>
      <c r="H21" s="34">
        <f t="shared" si="0"/>
        <v>4118</v>
      </c>
      <c r="I21" s="36">
        <f t="shared" si="1"/>
        <v>45748</v>
      </c>
      <c r="J21" s="34">
        <f t="shared" si="2"/>
        <v>4118</v>
      </c>
      <c r="K21" s="34" t="str">
        <f t="shared" si="3"/>
        <v/>
      </c>
      <c r="L21" s="33">
        <f>IF(AND(C21="No",H21&gt;'Analysis Summary'!$B$5),1,0)</f>
        <v>0</v>
      </c>
      <c r="M21" s="33" t="str">
        <f>IF(L21=1,SUM($L$2:L21),"")</f>
        <v/>
      </c>
      <c r="N21" s="33" t="str">
        <f>IF(C21="Yes",COUNTIF($C$2:C21,"Yes"),"")</f>
        <v/>
      </c>
      <c r="P21" s="37">
        <v>20</v>
      </c>
      <c r="Q21" s="32">
        <f t="shared" si="4"/>
        <v>45770</v>
      </c>
      <c r="R21" s="34">
        <f t="shared" si="5"/>
        <v>1614</v>
      </c>
      <c r="S21" s="35">
        <f t="shared" si="6"/>
        <v>27.4</v>
      </c>
      <c r="T21" s="34">
        <f t="shared" si="7"/>
        <v>12759</v>
      </c>
    </row>
    <row r="22" spans="1:20" x14ac:dyDescent="0.25">
      <c r="A22" s="32">
        <f>'Daily Energy'!A22</f>
        <v>45768</v>
      </c>
      <c r="B22" s="33" t="str">
        <f>'Daily Energy'!B22</f>
        <v>Monday</v>
      </c>
      <c r="C22" s="33" t="str">
        <f>'Daily Energy'!C22</f>
        <v>Yes</v>
      </c>
      <c r="D22" s="34">
        <f>'Daily Energy'!D22</f>
        <v>2058</v>
      </c>
      <c r="E22" s="35">
        <f>'Daily Energy'!E22</f>
        <v>24.5</v>
      </c>
      <c r="F22" s="34">
        <f>'Daily Energy'!F22</f>
        <v>12829</v>
      </c>
      <c r="G22" s="34">
        <f>'Daily Energy'!G22</f>
        <v>1297</v>
      </c>
      <c r="H22" s="34">
        <f t="shared" si="0"/>
        <v>14126</v>
      </c>
      <c r="I22" s="36">
        <f t="shared" si="1"/>
        <v>45748</v>
      </c>
      <c r="J22" s="34" t="str">
        <f t="shared" si="2"/>
        <v/>
      </c>
      <c r="K22" s="34">
        <f t="shared" si="3"/>
        <v>14126</v>
      </c>
      <c r="L22" s="33">
        <f>IF(AND(C22="No",H22&gt;'Analysis Summary'!$B$5),1,0)</f>
        <v>0</v>
      </c>
      <c r="M22" s="33" t="str">
        <f>IF(L22=1,SUM($L$2:L22),"")</f>
        <v/>
      </c>
      <c r="N22" s="33">
        <f>IF(C22="Yes",COUNTIF($C$2:C22,"Yes"),"")</f>
        <v>18</v>
      </c>
      <c r="P22" s="37">
        <v>21</v>
      </c>
      <c r="Q22" s="32">
        <f t="shared" si="4"/>
        <v>45771</v>
      </c>
      <c r="R22" s="34">
        <f t="shared" si="5"/>
        <v>1771</v>
      </c>
      <c r="S22" s="35">
        <f t="shared" si="6"/>
        <v>26.9</v>
      </c>
      <c r="T22" s="34">
        <f t="shared" si="7"/>
        <v>12903</v>
      </c>
    </row>
    <row r="23" spans="1:20" x14ac:dyDescent="0.25">
      <c r="A23" s="32">
        <f>'Daily Energy'!A23</f>
        <v>45769</v>
      </c>
      <c r="B23" s="33" t="str">
        <f>'Daily Energy'!B23</f>
        <v>Tuesday</v>
      </c>
      <c r="C23" s="33" t="str">
        <f>'Daily Energy'!C23</f>
        <v>Yes</v>
      </c>
      <c r="D23" s="34">
        <f>'Daily Energy'!D23</f>
        <v>1750</v>
      </c>
      <c r="E23" s="35">
        <f>'Daily Energy'!E23</f>
        <v>25.6</v>
      </c>
      <c r="F23" s="34">
        <f>'Daily Energy'!F23</f>
        <v>12144</v>
      </c>
      <c r="G23" s="34">
        <f>'Daily Energy'!G23</f>
        <v>1721</v>
      </c>
      <c r="H23" s="34">
        <f t="shared" si="0"/>
        <v>13865</v>
      </c>
      <c r="I23" s="36">
        <f t="shared" si="1"/>
        <v>45748</v>
      </c>
      <c r="J23" s="34" t="str">
        <f t="shared" si="2"/>
        <v/>
      </c>
      <c r="K23" s="34">
        <f t="shared" si="3"/>
        <v>13865</v>
      </c>
      <c r="L23" s="33">
        <f>IF(AND(C23="No",H23&gt;'Analysis Summary'!$B$5),1,0)</f>
        <v>0</v>
      </c>
      <c r="M23" s="33" t="str">
        <f>IF(L23=1,SUM($L$2:L23),"")</f>
        <v/>
      </c>
      <c r="N23" s="33">
        <f>IF(C23="Yes",COUNTIF($C$2:C23,"Yes"),"")</f>
        <v>19</v>
      </c>
      <c r="P23" s="37">
        <v>22</v>
      </c>
      <c r="Q23" s="32">
        <f t="shared" si="4"/>
        <v>45772</v>
      </c>
      <c r="R23" s="34">
        <f t="shared" si="5"/>
        <v>1936</v>
      </c>
      <c r="S23" s="35">
        <f t="shared" si="6"/>
        <v>28.7</v>
      </c>
      <c r="T23" s="34">
        <f t="shared" si="7"/>
        <v>14239</v>
      </c>
    </row>
    <row r="24" spans="1:20" x14ac:dyDescent="0.25">
      <c r="A24" s="32">
        <f>'Daily Energy'!A24</f>
        <v>45770</v>
      </c>
      <c r="B24" s="33" t="str">
        <f>'Daily Energy'!B24</f>
        <v>Wednesday</v>
      </c>
      <c r="C24" s="33" t="str">
        <f>'Daily Energy'!C24</f>
        <v>Yes</v>
      </c>
      <c r="D24" s="34">
        <f>'Daily Energy'!D24</f>
        <v>1614</v>
      </c>
      <c r="E24" s="35">
        <f>'Daily Energy'!E24</f>
        <v>27.4</v>
      </c>
      <c r="F24" s="34">
        <f>'Daily Energy'!F24</f>
        <v>10960</v>
      </c>
      <c r="G24" s="34">
        <f>'Daily Energy'!G24</f>
        <v>1799</v>
      </c>
      <c r="H24" s="34">
        <f t="shared" si="0"/>
        <v>12759</v>
      </c>
      <c r="I24" s="36">
        <f t="shared" si="1"/>
        <v>45748</v>
      </c>
      <c r="J24" s="34" t="str">
        <f t="shared" si="2"/>
        <v/>
      </c>
      <c r="K24" s="34">
        <f t="shared" si="3"/>
        <v>12759</v>
      </c>
      <c r="L24" s="33">
        <f>IF(AND(C24="No",H24&gt;'Analysis Summary'!$B$5),1,0)</f>
        <v>0</v>
      </c>
      <c r="M24" s="33" t="str">
        <f>IF(L24=1,SUM($L$2:L24),"")</f>
        <v/>
      </c>
      <c r="N24" s="33">
        <f>IF(C24="Yes",COUNTIF($C$2:C24,"Yes"),"")</f>
        <v>20</v>
      </c>
      <c r="P24" s="37">
        <v>23</v>
      </c>
      <c r="Q24" s="32">
        <f t="shared" si="4"/>
        <v>45773</v>
      </c>
      <c r="R24" s="34">
        <f t="shared" si="5"/>
        <v>1689</v>
      </c>
      <c r="S24" s="35">
        <f t="shared" si="6"/>
        <v>26.5</v>
      </c>
      <c r="T24" s="34">
        <f t="shared" si="7"/>
        <v>12884</v>
      </c>
    </row>
    <row r="25" spans="1:20" x14ac:dyDescent="0.25">
      <c r="A25" s="32">
        <f>'Daily Energy'!A25</f>
        <v>45771</v>
      </c>
      <c r="B25" s="33" t="str">
        <f>'Daily Energy'!B25</f>
        <v>Thursday</v>
      </c>
      <c r="C25" s="33" t="str">
        <f>'Daily Energy'!C25</f>
        <v>Yes</v>
      </c>
      <c r="D25" s="34">
        <f>'Daily Energy'!D25</f>
        <v>1771</v>
      </c>
      <c r="E25" s="35">
        <f>'Daily Energy'!E25</f>
        <v>26.9</v>
      </c>
      <c r="F25" s="34">
        <f>'Daily Energy'!F25</f>
        <v>11486</v>
      </c>
      <c r="G25" s="34">
        <f>'Daily Energy'!G25</f>
        <v>1417</v>
      </c>
      <c r="H25" s="34">
        <f t="shared" si="0"/>
        <v>12903</v>
      </c>
      <c r="I25" s="36">
        <f t="shared" si="1"/>
        <v>45748</v>
      </c>
      <c r="J25" s="34" t="str">
        <f t="shared" si="2"/>
        <v/>
      </c>
      <c r="K25" s="34">
        <f t="shared" si="3"/>
        <v>12903</v>
      </c>
      <c r="L25" s="33">
        <f>IF(AND(C25="No",H25&gt;'Analysis Summary'!$B$5),1,0)</f>
        <v>0</v>
      </c>
      <c r="M25" s="33" t="str">
        <f>IF(L25=1,SUM($L$2:L25),"")</f>
        <v/>
      </c>
      <c r="N25" s="33">
        <f>IF(C25="Yes",COUNTIF($C$2:C25,"Yes"),"")</f>
        <v>21</v>
      </c>
      <c r="P25" s="37">
        <v>24</v>
      </c>
      <c r="Q25" s="32">
        <f t="shared" si="4"/>
        <v>45775</v>
      </c>
      <c r="R25" s="34">
        <f t="shared" si="5"/>
        <v>1566</v>
      </c>
      <c r="S25" s="35">
        <f t="shared" si="6"/>
        <v>26.8</v>
      </c>
      <c r="T25" s="34">
        <f t="shared" si="7"/>
        <v>12611</v>
      </c>
    </row>
    <row r="26" spans="1:20" x14ac:dyDescent="0.25">
      <c r="A26" s="32">
        <f>'Daily Energy'!A26</f>
        <v>45772</v>
      </c>
      <c r="B26" s="33" t="str">
        <f>'Daily Energy'!B26</f>
        <v>Friday</v>
      </c>
      <c r="C26" s="33" t="str">
        <f>'Daily Energy'!C26</f>
        <v>Yes</v>
      </c>
      <c r="D26" s="34">
        <f>'Daily Energy'!D26</f>
        <v>1936</v>
      </c>
      <c r="E26" s="35">
        <f>'Daily Energy'!E26</f>
        <v>28.7</v>
      </c>
      <c r="F26" s="34">
        <f>'Daily Energy'!F26</f>
        <v>12488</v>
      </c>
      <c r="G26" s="34">
        <f>'Daily Energy'!G26</f>
        <v>1751</v>
      </c>
      <c r="H26" s="34">
        <f t="shared" si="0"/>
        <v>14239</v>
      </c>
      <c r="I26" s="36">
        <f t="shared" si="1"/>
        <v>45748</v>
      </c>
      <c r="J26" s="34" t="str">
        <f t="shared" si="2"/>
        <v/>
      </c>
      <c r="K26" s="34">
        <f t="shared" si="3"/>
        <v>14239</v>
      </c>
      <c r="L26" s="33">
        <f>IF(AND(C26="No",H26&gt;'Analysis Summary'!$B$5),1,0)</f>
        <v>0</v>
      </c>
      <c r="M26" s="33" t="str">
        <f>IF(L26=1,SUM($L$2:L26),"")</f>
        <v/>
      </c>
      <c r="N26" s="33">
        <f>IF(C26="Yes",COUNTIF($C$2:C26,"Yes"),"")</f>
        <v>22</v>
      </c>
      <c r="P26" s="37">
        <v>25</v>
      </c>
      <c r="Q26" s="32">
        <f t="shared" si="4"/>
        <v>45776</v>
      </c>
      <c r="R26" s="34">
        <f t="shared" si="5"/>
        <v>1813</v>
      </c>
      <c r="S26" s="35">
        <f t="shared" si="6"/>
        <v>31.4</v>
      </c>
      <c r="T26" s="34">
        <f t="shared" si="7"/>
        <v>14222</v>
      </c>
    </row>
    <row r="27" spans="1:20" x14ac:dyDescent="0.25">
      <c r="A27" s="32">
        <f>'Daily Energy'!A27</f>
        <v>45773</v>
      </c>
      <c r="B27" s="33" t="str">
        <f>'Daily Energy'!B27</f>
        <v>Saturday</v>
      </c>
      <c r="C27" s="33" t="str">
        <f>'Daily Energy'!C27</f>
        <v>Yes</v>
      </c>
      <c r="D27" s="34">
        <f>'Daily Energy'!D27</f>
        <v>1689</v>
      </c>
      <c r="E27" s="35">
        <f>'Daily Energy'!E27</f>
        <v>26.5</v>
      </c>
      <c r="F27" s="34">
        <f>'Daily Energy'!F27</f>
        <v>11177</v>
      </c>
      <c r="G27" s="34">
        <f>'Daily Energy'!G27</f>
        <v>1707</v>
      </c>
      <c r="H27" s="34">
        <f t="shared" si="0"/>
        <v>12884</v>
      </c>
      <c r="I27" s="36">
        <f t="shared" si="1"/>
        <v>45748</v>
      </c>
      <c r="J27" s="34" t="str">
        <f t="shared" si="2"/>
        <v/>
      </c>
      <c r="K27" s="34">
        <f t="shared" si="3"/>
        <v>12884</v>
      </c>
      <c r="L27" s="33">
        <f>IF(AND(C27="No",H27&gt;'Analysis Summary'!$B$5),1,0)</f>
        <v>0</v>
      </c>
      <c r="M27" s="33" t="str">
        <f>IF(L27=1,SUM($L$2:L27),"")</f>
        <v/>
      </c>
      <c r="N27" s="33">
        <f>IF(C27="Yes",COUNTIF($C$2:C27,"Yes"),"")</f>
        <v>23</v>
      </c>
      <c r="P27" s="37">
        <v>26</v>
      </c>
      <c r="Q27" s="32">
        <f t="shared" si="4"/>
        <v>45777</v>
      </c>
      <c r="R27" s="34">
        <f t="shared" si="5"/>
        <v>1969</v>
      </c>
      <c r="S27" s="35">
        <f t="shared" si="6"/>
        <v>27.9</v>
      </c>
      <c r="T27" s="34">
        <f t="shared" si="7"/>
        <v>14680</v>
      </c>
    </row>
    <row r="28" spans="1:20" x14ac:dyDescent="0.25">
      <c r="A28" s="32">
        <f>'Daily Energy'!A28</f>
        <v>45774</v>
      </c>
      <c r="B28" s="33" t="str">
        <f>'Daily Energy'!B28</f>
        <v>Sunday</v>
      </c>
      <c r="C28" s="33" t="str">
        <f>'Daily Energy'!C28</f>
        <v>No</v>
      </c>
      <c r="D28" s="34">
        <f>'Daily Energy'!D28</f>
        <v>0</v>
      </c>
      <c r="E28" s="35">
        <f>'Daily Energy'!E28</f>
        <v>29.8</v>
      </c>
      <c r="F28" s="34">
        <f>'Daily Energy'!F28</f>
        <v>2886</v>
      </c>
      <c r="G28" s="34">
        <f>'Daily Energy'!G28</f>
        <v>1540</v>
      </c>
      <c r="H28" s="34">
        <f t="shared" si="0"/>
        <v>4426</v>
      </c>
      <c r="I28" s="36">
        <f t="shared" si="1"/>
        <v>45748</v>
      </c>
      <c r="J28" s="34">
        <f t="shared" si="2"/>
        <v>4426</v>
      </c>
      <c r="K28" s="34" t="str">
        <f t="shared" si="3"/>
        <v/>
      </c>
      <c r="L28" s="33">
        <f>IF(AND(C28="No",H28&gt;'Analysis Summary'!$B$5),1,0)</f>
        <v>0</v>
      </c>
      <c r="M28" s="33" t="str">
        <f>IF(L28=1,SUM($L$2:L28),"")</f>
        <v/>
      </c>
      <c r="N28" s="33" t="str">
        <f>IF(C28="Yes",COUNTIF($C$2:C28,"Yes"),"")</f>
        <v/>
      </c>
      <c r="P28" s="37">
        <v>27</v>
      </c>
      <c r="Q28" s="32">
        <f t="shared" si="4"/>
        <v>45778</v>
      </c>
      <c r="R28" s="34">
        <f t="shared" si="5"/>
        <v>1817</v>
      </c>
      <c r="S28" s="35">
        <f t="shared" si="6"/>
        <v>27</v>
      </c>
      <c r="T28" s="34">
        <f t="shared" si="7"/>
        <v>13765</v>
      </c>
    </row>
    <row r="29" spans="1:20" x14ac:dyDescent="0.25">
      <c r="A29" s="32">
        <f>'Daily Energy'!A29</f>
        <v>45775</v>
      </c>
      <c r="B29" s="33" t="str">
        <f>'Daily Energy'!B29</f>
        <v>Monday</v>
      </c>
      <c r="C29" s="33" t="str">
        <f>'Daily Energy'!C29</f>
        <v>Yes</v>
      </c>
      <c r="D29" s="34">
        <f>'Daily Energy'!D29</f>
        <v>1566</v>
      </c>
      <c r="E29" s="35">
        <f>'Daily Energy'!E29</f>
        <v>26.8</v>
      </c>
      <c r="F29" s="34">
        <f>'Daily Energy'!F29</f>
        <v>10883</v>
      </c>
      <c r="G29" s="34">
        <f>'Daily Energy'!G29</f>
        <v>1728</v>
      </c>
      <c r="H29" s="34">
        <f t="shared" si="0"/>
        <v>12611</v>
      </c>
      <c r="I29" s="36">
        <f t="shared" si="1"/>
        <v>45748</v>
      </c>
      <c r="J29" s="34" t="str">
        <f t="shared" si="2"/>
        <v/>
      </c>
      <c r="K29" s="34">
        <f t="shared" si="3"/>
        <v>12611</v>
      </c>
      <c r="L29" s="33">
        <f>IF(AND(C29="No",H29&gt;'Analysis Summary'!$B$5),1,0)</f>
        <v>0</v>
      </c>
      <c r="M29" s="33" t="str">
        <f>IF(L29=1,SUM($L$2:L29),"")</f>
        <v/>
      </c>
      <c r="N29" s="33">
        <f>IF(C29="Yes",COUNTIF($C$2:C29,"Yes"),"")</f>
        <v>24</v>
      </c>
      <c r="P29" s="37">
        <v>28</v>
      </c>
      <c r="Q29" s="32">
        <f t="shared" si="4"/>
        <v>45779</v>
      </c>
      <c r="R29" s="34">
        <f t="shared" si="5"/>
        <v>1888</v>
      </c>
      <c r="S29" s="35">
        <f t="shared" si="6"/>
        <v>27.1</v>
      </c>
      <c r="T29" s="34">
        <f t="shared" si="7"/>
        <v>14044</v>
      </c>
    </row>
    <row r="30" spans="1:20" x14ac:dyDescent="0.25">
      <c r="A30" s="32">
        <f>'Daily Energy'!A30</f>
        <v>45776</v>
      </c>
      <c r="B30" s="33" t="str">
        <f>'Daily Energy'!B30</f>
        <v>Tuesday</v>
      </c>
      <c r="C30" s="33" t="str">
        <f>'Daily Energy'!C30</f>
        <v>Yes</v>
      </c>
      <c r="D30" s="34">
        <f>'Daily Energy'!D30</f>
        <v>1813</v>
      </c>
      <c r="E30" s="35">
        <f>'Daily Energy'!E30</f>
        <v>31.4</v>
      </c>
      <c r="F30" s="34">
        <f>'Daily Energy'!F30</f>
        <v>12781</v>
      </c>
      <c r="G30" s="34">
        <f>'Daily Energy'!G30</f>
        <v>1441</v>
      </c>
      <c r="H30" s="34">
        <f t="shared" si="0"/>
        <v>14222</v>
      </c>
      <c r="I30" s="36">
        <f t="shared" si="1"/>
        <v>45748</v>
      </c>
      <c r="J30" s="34" t="str">
        <f t="shared" si="2"/>
        <v/>
      </c>
      <c r="K30" s="34">
        <f t="shared" si="3"/>
        <v>14222</v>
      </c>
      <c r="L30" s="33">
        <f>IF(AND(C30="No",H30&gt;'Analysis Summary'!$B$5),1,0)</f>
        <v>0</v>
      </c>
      <c r="M30" s="33" t="str">
        <f>IF(L30=1,SUM($L$2:L30),"")</f>
        <v/>
      </c>
      <c r="N30" s="33">
        <f>IF(C30="Yes",COUNTIF($C$2:C30,"Yes"),"")</f>
        <v>25</v>
      </c>
      <c r="P30" s="37">
        <v>29</v>
      </c>
      <c r="Q30" s="32">
        <f t="shared" si="4"/>
        <v>45780</v>
      </c>
      <c r="R30" s="34">
        <f t="shared" si="5"/>
        <v>1893</v>
      </c>
      <c r="S30" s="35">
        <f t="shared" si="6"/>
        <v>28.3</v>
      </c>
      <c r="T30" s="34">
        <f t="shared" si="7"/>
        <v>14243</v>
      </c>
    </row>
    <row r="31" spans="1:20" x14ac:dyDescent="0.25">
      <c r="A31" s="32">
        <f>'Daily Energy'!A31</f>
        <v>45777</v>
      </c>
      <c r="B31" s="33" t="str">
        <f>'Daily Energy'!B31</f>
        <v>Wednesday</v>
      </c>
      <c r="C31" s="33" t="str">
        <f>'Daily Energy'!C31</f>
        <v>Yes</v>
      </c>
      <c r="D31" s="34">
        <f>'Daily Energy'!D31</f>
        <v>1969</v>
      </c>
      <c r="E31" s="35">
        <f>'Daily Energy'!E31</f>
        <v>27.9</v>
      </c>
      <c r="F31" s="34">
        <f>'Daily Energy'!F31</f>
        <v>13239</v>
      </c>
      <c r="G31" s="34">
        <f>'Daily Energy'!G31</f>
        <v>1441</v>
      </c>
      <c r="H31" s="34">
        <f t="shared" si="0"/>
        <v>14680</v>
      </c>
      <c r="I31" s="36">
        <f t="shared" si="1"/>
        <v>45748</v>
      </c>
      <c r="J31" s="34" t="str">
        <f t="shared" si="2"/>
        <v/>
      </c>
      <c r="K31" s="34">
        <f t="shared" si="3"/>
        <v>14680</v>
      </c>
      <c r="L31" s="33">
        <f>IF(AND(C31="No",H31&gt;'Analysis Summary'!$B$5),1,0)</f>
        <v>0</v>
      </c>
      <c r="M31" s="33" t="str">
        <f>IF(L31=1,SUM($L$2:L31),"")</f>
        <v/>
      </c>
      <c r="N31" s="33">
        <f>IF(C31="Yes",COUNTIF($C$2:C31,"Yes"),"")</f>
        <v>26</v>
      </c>
      <c r="P31" s="37">
        <v>30</v>
      </c>
      <c r="Q31" s="32">
        <f t="shared" si="4"/>
        <v>45782</v>
      </c>
      <c r="R31" s="34">
        <f t="shared" si="5"/>
        <v>1930</v>
      </c>
      <c r="S31" s="35">
        <f t="shared" si="6"/>
        <v>31.3</v>
      </c>
      <c r="T31" s="34">
        <f t="shared" si="7"/>
        <v>14965</v>
      </c>
    </row>
    <row r="32" spans="1:20" x14ac:dyDescent="0.25">
      <c r="A32" s="32">
        <f>'Daily Energy'!A32</f>
        <v>45778</v>
      </c>
      <c r="B32" s="33" t="str">
        <f>'Daily Energy'!B32</f>
        <v>Thursday</v>
      </c>
      <c r="C32" s="33" t="str">
        <f>'Daily Energy'!C32</f>
        <v>Yes</v>
      </c>
      <c r="D32" s="34">
        <f>'Daily Energy'!D32</f>
        <v>1817</v>
      </c>
      <c r="E32" s="35">
        <f>'Daily Energy'!E32</f>
        <v>27</v>
      </c>
      <c r="F32" s="34">
        <f>'Daily Energy'!F32</f>
        <v>12317</v>
      </c>
      <c r="G32" s="34">
        <f>'Daily Energy'!G32</f>
        <v>1448</v>
      </c>
      <c r="H32" s="34">
        <f t="shared" si="0"/>
        <v>13765</v>
      </c>
      <c r="I32" s="36">
        <f t="shared" si="1"/>
        <v>45778</v>
      </c>
      <c r="J32" s="34" t="str">
        <f t="shared" si="2"/>
        <v/>
      </c>
      <c r="K32" s="34">
        <f t="shared" si="3"/>
        <v>13765</v>
      </c>
      <c r="L32" s="33">
        <f>IF(AND(C32="No",H32&gt;'Analysis Summary'!$B$5),1,0)</f>
        <v>0</v>
      </c>
      <c r="M32" s="33" t="str">
        <f>IF(L32=1,SUM($L$2:L32),"")</f>
        <v/>
      </c>
      <c r="N32" s="33">
        <f>IF(C32="Yes",COUNTIF($C$2:C32,"Yes"),"")</f>
        <v>27</v>
      </c>
      <c r="P32" s="37">
        <v>31</v>
      </c>
      <c r="Q32" s="32">
        <f t="shared" si="4"/>
        <v>45783</v>
      </c>
      <c r="R32" s="34">
        <f t="shared" si="5"/>
        <v>1869</v>
      </c>
      <c r="S32" s="35">
        <f t="shared" si="6"/>
        <v>26.6</v>
      </c>
      <c r="T32" s="34">
        <f t="shared" si="7"/>
        <v>13510</v>
      </c>
    </row>
    <row r="33" spans="1:20" x14ac:dyDescent="0.25">
      <c r="A33" s="32">
        <f>'Daily Energy'!A33</f>
        <v>45779</v>
      </c>
      <c r="B33" s="33" t="str">
        <f>'Daily Energy'!B33</f>
        <v>Friday</v>
      </c>
      <c r="C33" s="33" t="str">
        <f>'Daily Energy'!C33</f>
        <v>Yes</v>
      </c>
      <c r="D33" s="34">
        <f>'Daily Energy'!D33</f>
        <v>1888</v>
      </c>
      <c r="E33" s="35">
        <f>'Daily Energy'!E33</f>
        <v>27.1</v>
      </c>
      <c r="F33" s="34">
        <f>'Daily Energy'!F33</f>
        <v>12468</v>
      </c>
      <c r="G33" s="34">
        <f>'Daily Energy'!G33</f>
        <v>1576</v>
      </c>
      <c r="H33" s="34">
        <f t="shared" si="0"/>
        <v>14044</v>
      </c>
      <c r="I33" s="36">
        <f t="shared" si="1"/>
        <v>45778</v>
      </c>
      <c r="J33" s="34" t="str">
        <f t="shared" si="2"/>
        <v/>
      </c>
      <c r="K33" s="34">
        <f t="shared" si="3"/>
        <v>14044</v>
      </c>
      <c r="L33" s="33">
        <f>IF(AND(C33="No",H33&gt;'Analysis Summary'!$B$5),1,0)</f>
        <v>0</v>
      </c>
      <c r="M33" s="33" t="str">
        <f>IF(L33=1,SUM($L$2:L33),"")</f>
        <v/>
      </c>
      <c r="N33" s="33">
        <f>IF(C33="Yes",COUNTIF($C$2:C33,"Yes"),"")</f>
        <v>28</v>
      </c>
      <c r="P33" s="37">
        <v>32</v>
      </c>
      <c r="Q33" s="32">
        <f t="shared" si="4"/>
        <v>45784</v>
      </c>
      <c r="R33" s="34">
        <f t="shared" si="5"/>
        <v>1650</v>
      </c>
      <c r="S33" s="35">
        <f t="shared" si="6"/>
        <v>29.4</v>
      </c>
      <c r="T33" s="34">
        <f t="shared" si="7"/>
        <v>14061</v>
      </c>
    </row>
    <row r="34" spans="1:20" x14ac:dyDescent="0.25">
      <c r="A34" s="32">
        <f>'Daily Energy'!A34</f>
        <v>45780</v>
      </c>
      <c r="B34" s="33" t="str">
        <f>'Daily Energy'!B34</f>
        <v>Saturday</v>
      </c>
      <c r="C34" s="33" t="str">
        <f>'Daily Energy'!C34</f>
        <v>Yes</v>
      </c>
      <c r="D34" s="34">
        <f>'Daily Energy'!D34</f>
        <v>1893</v>
      </c>
      <c r="E34" s="35">
        <f>'Daily Energy'!E34</f>
        <v>28.3</v>
      </c>
      <c r="F34" s="34">
        <f>'Daily Energy'!F34</f>
        <v>12592</v>
      </c>
      <c r="G34" s="34">
        <f>'Daily Energy'!G34</f>
        <v>1651</v>
      </c>
      <c r="H34" s="34">
        <f t="shared" si="0"/>
        <v>14243</v>
      </c>
      <c r="I34" s="36">
        <f t="shared" si="1"/>
        <v>45778</v>
      </c>
      <c r="J34" s="34" t="str">
        <f t="shared" si="2"/>
        <v/>
      </c>
      <c r="K34" s="34">
        <f t="shared" si="3"/>
        <v>14243</v>
      </c>
      <c r="L34" s="33">
        <f>IF(AND(C34="No",H34&gt;'Analysis Summary'!$B$5),1,0)</f>
        <v>0</v>
      </c>
      <c r="M34" s="33" t="str">
        <f>IF(L34=1,SUM($L$2:L34),"")</f>
        <v/>
      </c>
      <c r="N34" s="33">
        <f>IF(C34="Yes",COUNTIF($C$2:C34,"Yes"),"")</f>
        <v>29</v>
      </c>
      <c r="P34" s="37">
        <v>33</v>
      </c>
      <c r="Q34" s="32">
        <f t="shared" si="4"/>
        <v>45785</v>
      </c>
      <c r="R34" s="34">
        <f t="shared" si="5"/>
        <v>1681</v>
      </c>
      <c r="S34" s="35">
        <f t="shared" si="6"/>
        <v>26</v>
      </c>
      <c r="T34" s="34">
        <f t="shared" si="7"/>
        <v>12203</v>
      </c>
    </row>
    <row r="35" spans="1:20" x14ac:dyDescent="0.25">
      <c r="A35" s="32">
        <f>'Daily Energy'!A35</f>
        <v>45781</v>
      </c>
      <c r="B35" s="33" t="str">
        <f>'Daily Energy'!B35</f>
        <v>Sunday</v>
      </c>
      <c r="C35" s="33" t="str">
        <f>'Daily Energy'!C35</f>
        <v>No</v>
      </c>
      <c r="D35" s="34">
        <f>'Daily Energy'!D35</f>
        <v>0</v>
      </c>
      <c r="E35" s="35">
        <f>'Daily Energy'!E35</f>
        <v>28.4</v>
      </c>
      <c r="F35" s="34">
        <f>'Daily Energy'!F35</f>
        <v>2343</v>
      </c>
      <c r="G35" s="34">
        <f>'Daily Energy'!G35</f>
        <v>1714</v>
      </c>
      <c r="H35" s="34">
        <f t="shared" si="0"/>
        <v>4057</v>
      </c>
      <c r="I35" s="36">
        <f t="shared" si="1"/>
        <v>45778</v>
      </c>
      <c r="J35" s="34">
        <f t="shared" si="2"/>
        <v>4057</v>
      </c>
      <c r="K35" s="34" t="str">
        <f t="shared" si="3"/>
        <v/>
      </c>
      <c r="L35" s="33">
        <f>IF(AND(C35="No",H35&gt;'Analysis Summary'!$B$5),1,0)</f>
        <v>0</v>
      </c>
      <c r="M35" s="33" t="str">
        <f>IF(L35=1,SUM($L$2:L35),"")</f>
        <v/>
      </c>
      <c r="N35" s="33" t="str">
        <f>IF(C35="Yes",COUNTIF($C$2:C35,"Yes"),"")</f>
        <v/>
      </c>
      <c r="P35" s="37">
        <v>34</v>
      </c>
      <c r="Q35" s="32">
        <f t="shared" si="4"/>
        <v>45786</v>
      </c>
      <c r="R35" s="34">
        <f t="shared" si="5"/>
        <v>2032</v>
      </c>
      <c r="S35" s="35">
        <f t="shared" si="6"/>
        <v>31</v>
      </c>
      <c r="T35" s="34">
        <f t="shared" si="7"/>
        <v>15945</v>
      </c>
    </row>
    <row r="36" spans="1:20" x14ac:dyDescent="0.25">
      <c r="A36" s="32">
        <f>'Daily Energy'!A36</f>
        <v>45782</v>
      </c>
      <c r="B36" s="33" t="str">
        <f>'Daily Energy'!B36</f>
        <v>Monday</v>
      </c>
      <c r="C36" s="33" t="str">
        <f>'Daily Energy'!C36</f>
        <v>Yes</v>
      </c>
      <c r="D36" s="34">
        <f>'Daily Energy'!D36</f>
        <v>1930</v>
      </c>
      <c r="E36" s="35">
        <f>'Daily Energy'!E36</f>
        <v>31.3</v>
      </c>
      <c r="F36" s="34">
        <f>'Daily Energy'!F36</f>
        <v>13198</v>
      </c>
      <c r="G36" s="34">
        <f>'Daily Energy'!G36</f>
        <v>1767</v>
      </c>
      <c r="H36" s="34">
        <f t="shared" si="0"/>
        <v>14965</v>
      </c>
      <c r="I36" s="36">
        <f t="shared" si="1"/>
        <v>45778</v>
      </c>
      <c r="J36" s="34" t="str">
        <f t="shared" si="2"/>
        <v/>
      </c>
      <c r="K36" s="34">
        <f t="shared" si="3"/>
        <v>14965</v>
      </c>
      <c r="L36" s="33">
        <f>IF(AND(C36="No",H36&gt;'Analysis Summary'!$B$5),1,0)</f>
        <v>0</v>
      </c>
      <c r="M36" s="33" t="str">
        <f>IF(L36=1,SUM($L$2:L36),"")</f>
        <v/>
      </c>
      <c r="N36" s="33">
        <f>IF(C36="Yes",COUNTIF($C$2:C36,"Yes"),"")</f>
        <v>30</v>
      </c>
      <c r="P36" s="37">
        <v>35</v>
      </c>
      <c r="Q36" s="32">
        <f t="shared" si="4"/>
        <v>45787</v>
      </c>
      <c r="R36" s="34">
        <f t="shared" si="5"/>
        <v>1807</v>
      </c>
      <c r="S36" s="35">
        <f t="shared" si="6"/>
        <v>30.9</v>
      </c>
      <c r="T36" s="34">
        <f t="shared" si="7"/>
        <v>13684</v>
      </c>
    </row>
    <row r="37" spans="1:20" x14ac:dyDescent="0.25">
      <c r="A37" s="32">
        <f>'Daily Energy'!A37</f>
        <v>45783</v>
      </c>
      <c r="B37" s="33" t="str">
        <f>'Daily Energy'!B37</f>
        <v>Tuesday</v>
      </c>
      <c r="C37" s="33" t="str">
        <f>'Daily Energy'!C37</f>
        <v>Yes</v>
      </c>
      <c r="D37" s="34">
        <f>'Daily Energy'!D37</f>
        <v>1869</v>
      </c>
      <c r="E37" s="35">
        <f>'Daily Energy'!E37</f>
        <v>26.6</v>
      </c>
      <c r="F37" s="34">
        <f>'Daily Energy'!F37</f>
        <v>11833</v>
      </c>
      <c r="G37" s="34">
        <f>'Daily Energy'!G37</f>
        <v>1677</v>
      </c>
      <c r="H37" s="34">
        <f t="shared" si="0"/>
        <v>13510</v>
      </c>
      <c r="I37" s="36">
        <f t="shared" si="1"/>
        <v>45778</v>
      </c>
      <c r="J37" s="34" t="str">
        <f t="shared" si="2"/>
        <v/>
      </c>
      <c r="K37" s="34">
        <f t="shared" si="3"/>
        <v>13510</v>
      </c>
      <c r="L37" s="33">
        <f>IF(AND(C37="No",H37&gt;'Analysis Summary'!$B$5),1,0)</f>
        <v>0</v>
      </c>
      <c r="M37" s="33" t="str">
        <f>IF(L37=1,SUM($L$2:L37),"")</f>
        <v/>
      </c>
      <c r="N37" s="33">
        <f>IF(C37="Yes",COUNTIF($C$2:C37,"Yes"),"")</f>
        <v>31</v>
      </c>
      <c r="P37" s="37">
        <v>36</v>
      </c>
      <c r="Q37" s="32">
        <f t="shared" si="4"/>
        <v>45789</v>
      </c>
      <c r="R37" s="34">
        <f t="shared" si="5"/>
        <v>1871</v>
      </c>
      <c r="S37" s="35">
        <f t="shared" si="6"/>
        <v>27.4</v>
      </c>
      <c r="T37" s="34">
        <f t="shared" si="7"/>
        <v>13740</v>
      </c>
    </row>
    <row r="38" spans="1:20" x14ac:dyDescent="0.25">
      <c r="A38" s="32">
        <f>'Daily Energy'!A38</f>
        <v>45784</v>
      </c>
      <c r="B38" s="33" t="str">
        <f>'Daily Energy'!B38</f>
        <v>Wednesday</v>
      </c>
      <c r="C38" s="33" t="str">
        <f>'Daily Energy'!C38</f>
        <v>Yes</v>
      </c>
      <c r="D38" s="34">
        <f>'Daily Energy'!D38</f>
        <v>1650</v>
      </c>
      <c r="E38" s="35">
        <f>'Daily Energy'!E38</f>
        <v>29.4</v>
      </c>
      <c r="F38" s="34">
        <f>'Daily Energy'!F38</f>
        <v>12108</v>
      </c>
      <c r="G38" s="34">
        <f>'Daily Energy'!G38</f>
        <v>1953</v>
      </c>
      <c r="H38" s="34">
        <f t="shared" si="0"/>
        <v>14061</v>
      </c>
      <c r="I38" s="36">
        <f t="shared" si="1"/>
        <v>45778</v>
      </c>
      <c r="J38" s="34" t="str">
        <f t="shared" si="2"/>
        <v/>
      </c>
      <c r="K38" s="34">
        <f t="shared" si="3"/>
        <v>14061</v>
      </c>
      <c r="L38" s="33">
        <f>IF(AND(C38="No",H38&gt;'Analysis Summary'!$B$5),1,0)</f>
        <v>0</v>
      </c>
      <c r="M38" s="33" t="str">
        <f>IF(L38=1,SUM($L$2:L38),"")</f>
        <v/>
      </c>
      <c r="N38" s="33">
        <f>IF(C38="Yes",COUNTIF($C$2:C38,"Yes"),"")</f>
        <v>32</v>
      </c>
      <c r="P38" s="37">
        <v>37</v>
      </c>
      <c r="Q38" s="32">
        <f t="shared" si="4"/>
        <v>45790</v>
      </c>
      <c r="R38" s="34">
        <f t="shared" si="5"/>
        <v>1812</v>
      </c>
      <c r="S38" s="35">
        <f t="shared" si="6"/>
        <v>28.8</v>
      </c>
      <c r="T38" s="34">
        <f t="shared" si="7"/>
        <v>14135</v>
      </c>
    </row>
    <row r="39" spans="1:20" x14ac:dyDescent="0.25">
      <c r="A39" s="32">
        <f>'Daily Energy'!A39</f>
        <v>45785</v>
      </c>
      <c r="B39" s="33" t="str">
        <f>'Daily Energy'!B39</f>
        <v>Thursday</v>
      </c>
      <c r="C39" s="33" t="str">
        <f>'Daily Energy'!C39</f>
        <v>Yes</v>
      </c>
      <c r="D39" s="34">
        <f>'Daily Energy'!D39</f>
        <v>1681</v>
      </c>
      <c r="E39" s="35">
        <f>'Daily Energy'!E39</f>
        <v>26</v>
      </c>
      <c r="F39" s="34">
        <f>'Daily Energy'!F39</f>
        <v>10670</v>
      </c>
      <c r="G39" s="34">
        <f>'Daily Energy'!G39</f>
        <v>1533</v>
      </c>
      <c r="H39" s="34">
        <f t="shared" si="0"/>
        <v>12203</v>
      </c>
      <c r="I39" s="36">
        <f t="shared" si="1"/>
        <v>45778</v>
      </c>
      <c r="J39" s="34" t="str">
        <f t="shared" si="2"/>
        <v/>
      </c>
      <c r="K39" s="34">
        <f t="shared" si="3"/>
        <v>12203</v>
      </c>
      <c r="L39" s="33">
        <f>IF(AND(C39="No",H39&gt;'Analysis Summary'!$B$5),1,0)</f>
        <v>0</v>
      </c>
      <c r="M39" s="33" t="str">
        <f>IF(L39=1,SUM($L$2:L39),"")</f>
        <v/>
      </c>
      <c r="N39" s="33">
        <f>IF(C39="Yes",COUNTIF($C$2:C39,"Yes"),"")</f>
        <v>33</v>
      </c>
      <c r="P39" s="37">
        <v>38</v>
      </c>
      <c r="Q39" s="32">
        <f t="shared" si="4"/>
        <v>45791</v>
      </c>
      <c r="R39" s="34">
        <f t="shared" si="5"/>
        <v>1964</v>
      </c>
      <c r="S39" s="35">
        <f t="shared" si="6"/>
        <v>30.7</v>
      </c>
      <c r="T39" s="34">
        <f t="shared" si="7"/>
        <v>15845</v>
      </c>
    </row>
    <row r="40" spans="1:20" x14ac:dyDescent="0.25">
      <c r="A40" s="32">
        <f>'Daily Energy'!A40</f>
        <v>45786</v>
      </c>
      <c r="B40" s="33" t="str">
        <f>'Daily Energy'!B40</f>
        <v>Friday</v>
      </c>
      <c r="C40" s="33" t="str">
        <f>'Daily Energy'!C40</f>
        <v>Yes</v>
      </c>
      <c r="D40" s="34">
        <f>'Daily Energy'!D40</f>
        <v>2032</v>
      </c>
      <c r="E40" s="35">
        <f>'Daily Energy'!E40</f>
        <v>31</v>
      </c>
      <c r="F40" s="34">
        <f>'Daily Energy'!F40</f>
        <v>14188</v>
      </c>
      <c r="G40" s="34">
        <f>'Daily Energy'!G40</f>
        <v>1757</v>
      </c>
      <c r="H40" s="34">
        <f t="shared" si="0"/>
        <v>15945</v>
      </c>
      <c r="I40" s="36">
        <f t="shared" si="1"/>
        <v>45778</v>
      </c>
      <c r="J40" s="34" t="str">
        <f t="shared" si="2"/>
        <v/>
      </c>
      <c r="K40" s="34">
        <f t="shared" si="3"/>
        <v>15945</v>
      </c>
      <c r="L40" s="33">
        <f>IF(AND(C40="No",H40&gt;'Analysis Summary'!$B$5),1,0)</f>
        <v>0</v>
      </c>
      <c r="M40" s="33" t="str">
        <f>IF(L40=1,SUM($L$2:L40),"")</f>
        <v/>
      </c>
      <c r="N40" s="33">
        <f>IF(C40="Yes",COUNTIF($C$2:C40,"Yes"),"")</f>
        <v>34</v>
      </c>
      <c r="P40" s="37">
        <v>39</v>
      </c>
      <c r="Q40" s="32">
        <f t="shared" si="4"/>
        <v>45792</v>
      </c>
      <c r="R40" s="34">
        <f t="shared" si="5"/>
        <v>1972</v>
      </c>
      <c r="S40" s="35">
        <f t="shared" si="6"/>
        <v>30.1</v>
      </c>
      <c r="T40" s="34">
        <f t="shared" si="7"/>
        <v>15860</v>
      </c>
    </row>
    <row r="41" spans="1:20" x14ac:dyDescent="0.25">
      <c r="A41" s="32">
        <f>'Daily Energy'!A41</f>
        <v>45787</v>
      </c>
      <c r="B41" s="33" t="str">
        <f>'Daily Energy'!B41</f>
        <v>Saturday</v>
      </c>
      <c r="C41" s="33" t="str">
        <f>'Daily Energy'!C41</f>
        <v>Yes</v>
      </c>
      <c r="D41" s="34">
        <f>'Daily Energy'!D41</f>
        <v>1807</v>
      </c>
      <c r="E41" s="35">
        <f>'Daily Energy'!E41</f>
        <v>30.9</v>
      </c>
      <c r="F41" s="34">
        <f>'Daily Energy'!F41</f>
        <v>12348</v>
      </c>
      <c r="G41" s="34">
        <f>'Daily Energy'!G41</f>
        <v>1336</v>
      </c>
      <c r="H41" s="34">
        <f t="shared" si="0"/>
        <v>13684</v>
      </c>
      <c r="I41" s="36">
        <f t="shared" si="1"/>
        <v>45778</v>
      </c>
      <c r="J41" s="34" t="str">
        <f t="shared" si="2"/>
        <v/>
      </c>
      <c r="K41" s="34">
        <f t="shared" si="3"/>
        <v>13684</v>
      </c>
      <c r="L41" s="33">
        <f>IF(AND(C41="No",H41&gt;'Analysis Summary'!$B$5),1,0)</f>
        <v>0</v>
      </c>
      <c r="M41" s="33" t="str">
        <f>IF(L41=1,SUM($L$2:L41),"")</f>
        <v/>
      </c>
      <c r="N41" s="33">
        <f>IF(C41="Yes",COUNTIF($C$2:C41,"Yes"),"")</f>
        <v>35</v>
      </c>
      <c r="P41" s="37">
        <v>40</v>
      </c>
      <c r="Q41" s="32">
        <f t="shared" si="4"/>
        <v>45793</v>
      </c>
      <c r="R41" s="34">
        <f t="shared" si="5"/>
        <v>1857</v>
      </c>
      <c r="S41" s="35">
        <f t="shared" si="6"/>
        <v>30</v>
      </c>
      <c r="T41" s="34">
        <f t="shared" si="7"/>
        <v>14578</v>
      </c>
    </row>
    <row r="42" spans="1:20" x14ac:dyDescent="0.25">
      <c r="A42" s="32">
        <f>'Daily Energy'!A42</f>
        <v>45788</v>
      </c>
      <c r="B42" s="33" t="str">
        <f>'Daily Energy'!B42</f>
        <v>Sunday</v>
      </c>
      <c r="C42" s="33" t="str">
        <f>'Daily Energy'!C42</f>
        <v>No</v>
      </c>
      <c r="D42" s="34">
        <f>'Daily Energy'!D42</f>
        <v>0</v>
      </c>
      <c r="E42" s="35">
        <f>'Daily Energy'!E42</f>
        <v>30.3</v>
      </c>
      <c r="F42" s="34">
        <f>'Daily Energy'!F42</f>
        <v>3054</v>
      </c>
      <c r="G42" s="34">
        <f>'Daily Energy'!G42</f>
        <v>1863</v>
      </c>
      <c r="H42" s="34">
        <f t="shared" si="0"/>
        <v>4917</v>
      </c>
      <c r="I42" s="36">
        <f t="shared" si="1"/>
        <v>45778</v>
      </c>
      <c r="J42" s="34">
        <f t="shared" si="2"/>
        <v>4917</v>
      </c>
      <c r="K42" s="34" t="str">
        <f t="shared" si="3"/>
        <v/>
      </c>
      <c r="L42" s="33">
        <f>IF(AND(C42="No",H42&gt;'Analysis Summary'!$B$5),1,0)</f>
        <v>1</v>
      </c>
      <c r="M42" s="33">
        <f>IF(L42=1,SUM($L$2:L42),"")</f>
        <v>1</v>
      </c>
      <c r="N42" s="33" t="str">
        <f>IF(C42="Yes",COUNTIF($C$2:C42,"Yes"),"")</f>
        <v/>
      </c>
      <c r="P42" s="37">
        <v>41</v>
      </c>
      <c r="Q42" s="32">
        <f t="shared" si="4"/>
        <v>45794</v>
      </c>
      <c r="R42" s="34">
        <f t="shared" si="5"/>
        <v>1852</v>
      </c>
      <c r="S42" s="35">
        <f t="shared" si="6"/>
        <v>31.1</v>
      </c>
      <c r="T42" s="34">
        <f t="shared" si="7"/>
        <v>14455</v>
      </c>
    </row>
    <row r="43" spans="1:20" x14ac:dyDescent="0.25">
      <c r="A43" s="32">
        <f>'Daily Energy'!A43</f>
        <v>45789</v>
      </c>
      <c r="B43" s="33" t="str">
        <f>'Daily Energy'!B43</f>
        <v>Monday</v>
      </c>
      <c r="C43" s="33" t="str">
        <f>'Daily Energy'!C43</f>
        <v>Yes</v>
      </c>
      <c r="D43" s="34">
        <f>'Daily Energy'!D43</f>
        <v>1871</v>
      </c>
      <c r="E43" s="35">
        <f>'Daily Energy'!E43</f>
        <v>27.4</v>
      </c>
      <c r="F43" s="34">
        <f>'Daily Energy'!F43</f>
        <v>11998</v>
      </c>
      <c r="G43" s="34">
        <f>'Daily Energy'!G43</f>
        <v>1742</v>
      </c>
      <c r="H43" s="34">
        <f t="shared" si="0"/>
        <v>13740</v>
      </c>
      <c r="I43" s="36">
        <f t="shared" si="1"/>
        <v>45778</v>
      </c>
      <c r="J43" s="34" t="str">
        <f t="shared" si="2"/>
        <v/>
      </c>
      <c r="K43" s="34">
        <f t="shared" si="3"/>
        <v>13740</v>
      </c>
      <c r="L43" s="33">
        <f>IF(AND(C43="No",H43&gt;'Analysis Summary'!$B$5),1,0)</f>
        <v>0</v>
      </c>
      <c r="M43" s="33" t="str">
        <f>IF(L43=1,SUM($L$2:L43),"")</f>
        <v/>
      </c>
      <c r="N43" s="33">
        <f>IF(C43="Yes",COUNTIF($C$2:C43,"Yes"),"")</f>
        <v>36</v>
      </c>
      <c r="P43" s="37">
        <v>42</v>
      </c>
      <c r="Q43" s="32">
        <f t="shared" si="4"/>
        <v>45796</v>
      </c>
      <c r="R43" s="34">
        <f t="shared" si="5"/>
        <v>1657</v>
      </c>
      <c r="S43" s="35">
        <f t="shared" si="6"/>
        <v>29.4</v>
      </c>
      <c r="T43" s="34">
        <f t="shared" si="7"/>
        <v>13522</v>
      </c>
    </row>
    <row r="44" spans="1:20" x14ac:dyDescent="0.25">
      <c r="A44" s="32">
        <f>'Daily Energy'!A44</f>
        <v>45790</v>
      </c>
      <c r="B44" s="33" t="str">
        <f>'Daily Energy'!B44</f>
        <v>Tuesday</v>
      </c>
      <c r="C44" s="33" t="str">
        <f>'Daily Energy'!C44</f>
        <v>Yes</v>
      </c>
      <c r="D44" s="34">
        <f>'Daily Energy'!D44</f>
        <v>1812</v>
      </c>
      <c r="E44" s="35">
        <f>'Daily Energy'!E44</f>
        <v>28.8</v>
      </c>
      <c r="F44" s="34">
        <f>'Daily Energy'!F44</f>
        <v>12379</v>
      </c>
      <c r="G44" s="34">
        <f>'Daily Energy'!G44</f>
        <v>1756</v>
      </c>
      <c r="H44" s="34">
        <f t="shared" si="0"/>
        <v>14135</v>
      </c>
      <c r="I44" s="36">
        <f t="shared" si="1"/>
        <v>45778</v>
      </c>
      <c r="J44" s="34" t="str">
        <f t="shared" si="2"/>
        <v/>
      </c>
      <c r="K44" s="34">
        <f t="shared" si="3"/>
        <v>14135</v>
      </c>
      <c r="L44" s="33">
        <f>IF(AND(C44="No",H44&gt;'Analysis Summary'!$B$5),1,0)</f>
        <v>0</v>
      </c>
      <c r="M44" s="33" t="str">
        <f>IF(L44=1,SUM($L$2:L44),"")</f>
        <v/>
      </c>
      <c r="N44" s="33">
        <f>IF(C44="Yes",COUNTIF($C$2:C44,"Yes"),"")</f>
        <v>37</v>
      </c>
      <c r="P44" s="37">
        <v>43</v>
      </c>
      <c r="Q44" s="32">
        <f t="shared" si="4"/>
        <v>45797</v>
      </c>
      <c r="R44" s="34">
        <f t="shared" si="5"/>
        <v>1672</v>
      </c>
      <c r="S44" s="35">
        <f t="shared" si="6"/>
        <v>29.2</v>
      </c>
      <c r="T44" s="34">
        <f t="shared" si="7"/>
        <v>13765</v>
      </c>
    </row>
    <row r="45" spans="1:20" x14ac:dyDescent="0.25">
      <c r="A45" s="32">
        <f>'Daily Energy'!A45</f>
        <v>45791</v>
      </c>
      <c r="B45" s="33" t="str">
        <f>'Daily Energy'!B45</f>
        <v>Wednesday</v>
      </c>
      <c r="C45" s="33" t="str">
        <f>'Daily Energy'!C45</f>
        <v>Yes</v>
      </c>
      <c r="D45" s="34">
        <f>'Daily Energy'!D45</f>
        <v>1964</v>
      </c>
      <c r="E45" s="35">
        <f>'Daily Energy'!E45</f>
        <v>30.7</v>
      </c>
      <c r="F45" s="34">
        <f>'Daily Energy'!F45</f>
        <v>14144</v>
      </c>
      <c r="G45" s="34">
        <f>'Daily Energy'!G45</f>
        <v>1701</v>
      </c>
      <c r="H45" s="34">
        <f t="shared" si="0"/>
        <v>15845</v>
      </c>
      <c r="I45" s="36">
        <f t="shared" si="1"/>
        <v>45778</v>
      </c>
      <c r="J45" s="34" t="str">
        <f t="shared" si="2"/>
        <v/>
      </c>
      <c r="K45" s="34">
        <f t="shared" si="3"/>
        <v>15845</v>
      </c>
      <c r="L45" s="33">
        <f>IF(AND(C45="No",H45&gt;'Analysis Summary'!$B$5),1,0)</f>
        <v>0</v>
      </c>
      <c r="M45" s="33" t="str">
        <f>IF(L45=1,SUM($L$2:L45),"")</f>
        <v/>
      </c>
      <c r="N45" s="33">
        <f>IF(C45="Yes",COUNTIF($C$2:C45,"Yes"),"")</f>
        <v>38</v>
      </c>
      <c r="P45" s="37">
        <v>44</v>
      </c>
      <c r="Q45" s="32">
        <f t="shared" si="4"/>
        <v>45798</v>
      </c>
      <c r="R45" s="34">
        <f t="shared" si="5"/>
        <v>1569</v>
      </c>
      <c r="S45" s="35">
        <f t="shared" si="6"/>
        <v>32.4</v>
      </c>
      <c r="T45" s="34">
        <f t="shared" si="7"/>
        <v>13753</v>
      </c>
    </row>
    <row r="46" spans="1:20" x14ac:dyDescent="0.25">
      <c r="A46" s="32">
        <f>'Daily Energy'!A46</f>
        <v>45792</v>
      </c>
      <c r="B46" s="33" t="str">
        <f>'Daily Energy'!B46</f>
        <v>Thursday</v>
      </c>
      <c r="C46" s="33" t="str">
        <f>'Daily Energy'!C46</f>
        <v>Yes</v>
      </c>
      <c r="D46" s="34">
        <f>'Daily Energy'!D46</f>
        <v>1972</v>
      </c>
      <c r="E46" s="35">
        <f>'Daily Energy'!E46</f>
        <v>30.1</v>
      </c>
      <c r="F46" s="34">
        <f>'Daily Energy'!F46</f>
        <v>14259</v>
      </c>
      <c r="G46" s="34">
        <f>'Daily Energy'!G46</f>
        <v>1601</v>
      </c>
      <c r="H46" s="34">
        <f t="shared" si="0"/>
        <v>15860</v>
      </c>
      <c r="I46" s="36">
        <f t="shared" si="1"/>
        <v>45778</v>
      </c>
      <c r="J46" s="34" t="str">
        <f t="shared" si="2"/>
        <v/>
      </c>
      <c r="K46" s="34">
        <f t="shared" si="3"/>
        <v>15860</v>
      </c>
      <c r="L46" s="33">
        <f>IF(AND(C46="No",H46&gt;'Analysis Summary'!$B$5),1,0)</f>
        <v>0</v>
      </c>
      <c r="M46" s="33" t="str">
        <f>IF(L46=1,SUM($L$2:L46),"")</f>
        <v/>
      </c>
      <c r="N46" s="33">
        <f>IF(C46="Yes",COUNTIF($C$2:C46,"Yes"),"")</f>
        <v>39</v>
      </c>
      <c r="P46" s="37">
        <v>45</v>
      </c>
      <c r="Q46" s="32">
        <f t="shared" si="4"/>
        <v>45799</v>
      </c>
      <c r="R46" s="34">
        <f t="shared" si="5"/>
        <v>1731</v>
      </c>
      <c r="S46" s="35">
        <f t="shared" si="6"/>
        <v>27.8</v>
      </c>
      <c r="T46" s="34">
        <f t="shared" si="7"/>
        <v>13308</v>
      </c>
    </row>
    <row r="47" spans="1:20" x14ac:dyDescent="0.25">
      <c r="A47" s="32">
        <f>'Daily Energy'!A47</f>
        <v>45793</v>
      </c>
      <c r="B47" s="33" t="str">
        <f>'Daily Energy'!B47</f>
        <v>Friday</v>
      </c>
      <c r="C47" s="33" t="str">
        <f>'Daily Energy'!C47</f>
        <v>Yes</v>
      </c>
      <c r="D47" s="34">
        <f>'Daily Energy'!D47</f>
        <v>1857</v>
      </c>
      <c r="E47" s="35">
        <f>'Daily Energy'!E47</f>
        <v>30</v>
      </c>
      <c r="F47" s="34">
        <f>'Daily Energy'!F47</f>
        <v>12729</v>
      </c>
      <c r="G47" s="34">
        <f>'Daily Energy'!G47</f>
        <v>1849</v>
      </c>
      <c r="H47" s="34">
        <f t="shared" si="0"/>
        <v>14578</v>
      </c>
      <c r="I47" s="36">
        <f t="shared" si="1"/>
        <v>45778</v>
      </c>
      <c r="J47" s="34" t="str">
        <f t="shared" si="2"/>
        <v/>
      </c>
      <c r="K47" s="34">
        <f t="shared" si="3"/>
        <v>14578</v>
      </c>
      <c r="L47" s="33">
        <f>IF(AND(C47="No",H47&gt;'Analysis Summary'!$B$5),1,0)</f>
        <v>0</v>
      </c>
      <c r="M47" s="33" t="str">
        <f>IF(L47=1,SUM($L$2:L47),"")</f>
        <v/>
      </c>
      <c r="N47" s="33">
        <f>IF(C47="Yes",COUNTIF($C$2:C47,"Yes"),"")</f>
        <v>40</v>
      </c>
      <c r="P47" s="37">
        <v>46</v>
      </c>
      <c r="Q47" s="32">
        <f t="shared" si="4"/>
        <v>45800</v>
      </c>
      <c r="R47" s="34">
        <f t="shared" si="5"/>
        <v>1823</v>
      </c>
      <c r="S47" s="35">
        <f t="shared" si="6"/>
        <v>28.7</v>
      </c>
      <c r="T47" s="34">
        <f t="shared" si="7"/>
        <v>13898</v>
      </c>
    </row>
    <row r="48" spans="1:20" x14ac:dyDescent="0.25">
      <c r="A48" s="32">
        <f>'Daily Energy'!A48</f>
        <v>45794</v>
      </c>
      <c r="B48" s="33" t="str">
        <f>'Daily Energy'!B48</f>
        <v>Saturday</v>
      </c>
      <c r="C48" s="33" t="str">
        <f>'Daily Energy'!C48</f>
        <v>Yes</v>
      </c>
      <c r="D48" s="34">
        <f>'Daily Energy'!D48</f>
        <v>1852</v>
      </c>
      <c r="E48" s="35">
        <f>'Daily Energy'!E48</f>
        <v>31.1</v>
      </c>
      <c r="F48" s="34">
        <f>'Daily Energy'!F48</f>
        <v>13027</v>
      </c>
      <c r="G48" s="34">
        <f>'Daily Energy'!G48</f>
        <v>1428</v>
      </c>
      <c r="H48" s="34">
        <f t="shared" si="0"/>
        <v>14455</v>
      </c>
      <c r="I48" s="36">
        <f t="shared" si="1"/>
        <v>45778</v>
      </c>
      <c r="J48" s="34" t="str">
        <f t="shared" si="2"/>
        <v/>
      </c>
      <c r="K48" s="34">
        <f t="shared" si="3"/>
        <v>14455</v>
      </c>
      <c r="L48" s="33">
        <f>IF(AND(C48="No",H48&gt;'Analysis Summary'!$B$5),1,0)</f>
        <v>0</v>
      </c>
      <c r="M48" s="33" t="str">
        <f>IF(L48=1,SUM($L$2:L48),"")</f>
        <v/>
      </c>
      <c r="N48" s="33">
        <f>IF(C48="Yes",COUNTIF($C$2:C48,"Yes"),"")</f>
        <v>41</v>
      </c>
      <c r="P48" s="37">
        <v>47</v>
      </c>
      <c r="Q48" s="32">
        <f t="shared" si="4"/>
        <v>45801</v>
      </c>
      <c r="R48" s="34">
        <f t="shared" si="5"/>
        <v>1726</v>
      </c>
      <c r="S48" s="35">
        <f t="shared" si="6"/>
        <v>29.9</v>
      </c>
      <c r="T48" s="34">
        <f t="shared" si="7"/>
        <v>14014</v>
      </c>
    </row>
    <row r="49" spans="1:20" x14ac:dyDescent="0.25">
      <c r="A49" s="32">
        <f>'Daily Energy'!A49</f>
        <v>45795</v>
      </c>
      <c r="B49" s="33" t="str">
        <f>'Daily Energy'!B49</f>
        <v>Sunday</v>
      </c>
      <c r="C49" s="33" t="str">
        <f>'Daily Energy'!C49</f>
        <v>No</v>
      </c>
      <c r="D49" s="34">
        <f>'Daily Energy'!D49</f>
        <v>0</v>
      </c>
      <c r="E49" s="35">
        <f>'Daily Energy'!E49</f>
        <v>31.1</v>
      </c>
      <c r="F49" s="34">
        <f>'Daily Energy'!F49</f>
        <v>3251</v>
      </c>
      <c r="G49" s="34">
        <f>'Daily Energy'!G49</f>
        <v>1539</v>
      </c>
      <c r="H49" s="34">
        <f t="shared" si="0"/>
        <v>4790</v>
      </c>
      <c r="I49" s="36">
        <f t="shared" si="1"/>
        <v>45778</v>
      </c>
      <c r="J49" s="34">
        <f t="shared" si="2"/>
        <v>4790</v>
      </c>
      <c r="K49" s="34" t="str">
        <f t="shared" si="3"/>
        <v/>
      </c>
      <c r="L49" s="33">
        <f>IF(AND(C49="No",H49&gt;'Analysis Summary'!$B$5),1,0)</f>
        <v>1</v>
      </c>
      <c r="M49" s="33">
        <f>IF(L49=1,SUM($L$2:L49),"")</f>
        <v>2</v>
      </c>
      <c r="N49" s="33" t="str">
        <f>IF(C49="Yes",COUNTIF($C$2:C49,"Yes"),"")</f>
        <v/>
      </c>
      <c r="P49" s="37">
        <v>48</v>
      </c>
      <c r="Q49" s="32">
        <f t="shared" si="4"/>
        <v>45803</v>
      </c>
      <c r="R49" s="34">
        <f t="shared" si="5"/>
        <v>1869</v>
      </c>
      <c r="S49" s="35">
        <f t="shared" si="6"/>
        <v>29.7</v>
      </c>
      <c r="T49" s="34">
        <f t="shared" si="7"/>
        <v>14441</v>
      </c>
    </row>
    <row r="50" spans="1:20" x14ac:dyDescent="0.25">
      <c r="A50" s="32">
        <f>'Daily Energy'!A50</f>
        <v>45796</v>
      </c>
      <c r="B50" s="33" t="str">
        <f>'Daily Energy'!B50</f>
        <v>Monday</v>
      </c>
      <c r="C50" s="33" t="str">
        <f>'Daily Energy'!C50</f>
        <v>Yes</v>
      </c>
      <c r="D50" s="34">
        <f>'Daily Energy'!D50</f>
        <v>1657</v>
      </c>
      <c r="E50" s="35">
        <f>'Daily Energy'!E50</f>
        <v>29.4</v>
      </c>
      <c r="F50" s="34">
        <f>'Daily Energy'!F50</f>
        <v>11728</v>
      </c>
      <c r="G50" s="34">
        <f>'Daily Energy'!G50</f>
        <v>1794</v>
      </c>
      <c r="H50" s="34">
        <f t="shared" si="0"/>
        <v>13522</v>
      </c>
      <c r="I50" s="36">
        <f t="shared" si="1"/>
        <v>45778</v>
      </c>
      <c r="J50" s="34" t="str">
        <f t="shared" si="2"/>
        <v/>
      </c>
      <c r="K50" s="34">
        <f t="shared" si="3"/>
        <v>13522</v>
      </c>
      <c r="L50" s="33">
        <f>IF(AND(C50="No",H50&gt;'Analysis Summary'!$B$5),1,0)</f>
        <v>0</v>
      </c>
      <c r="M50" s="33" t="str">
        <f>IF(L50=1,SUM($L$2:L50),"")</f>
        <v/>
      </c>
      <c r="N50" s="33">
        <f>IF(C50="Yes",COUNTIF($C$2:C50,"Yes"),"")</f>
        <v>42</v>
      </c>
      <c r="P50" s="37">
        <v>49</v>
      </c>
      <c r="Q50" s="32">
        <f t="shared" si="4"/>
        <v>45804</v>
      </c>
      <c r="R50" s="34">
        <f t="shared" si="5"/>
        <v>1870</v>
      </c>
      <c r="S50" s="35">
        <f t="shared" si="6"/>
        <v>32</v>
      </c>
      <c r="T50" s="34">
        <f t="shared" si="7"/>
        <v>14835</v>
      </c>
    </row>
    <row r="51" spans="1:20" x14ac:dyDescent="0.25">
      <c r="A51" s="32">
        <f>'Daily Energy'!A51</f>
        <v>45797</v>
      </c>
      <c r="B51" s="33" t="str">
        <f>'Daily Energy'!B51</f>
        <v>Tuesday</v>
      </c>
      <c r="C51" s="33" t="str">
        <f>'Daily Energy'!C51</f>
        <v>Yes</v>
      </c>
      <c r="D51" s="34">
        <f>'Daily Energy'!D51</f>
        <v>1672</v>
      </c>
      <c r="E51" s="35">
        <f>'Daily Energy'!E51</f>
        <v>29.2</v>
      </c>
      <c r="F51" s="34">
        <f>'Daily Energy'!F51</f>
        <v>12147</v>
      </c>
      <c r="G51" s="34">
        <f>'Daily Energy'!G51</f>
        <v>1618</v>
      </c>
      <c r="H51" s="34">
        <f t="shared" si="0"/>
        <v>13765</v>
      </c>
      <c r="I51" s="36">
        <f t="shared" si="1"/>
        <v>45778</v>
      </c>
      <c r="J51" s="34" t="str">
        <f t="shared" si="2"/>
        <v/>
      </c>
      <c r="K51" s="34">
        <f t="shared" si="3"/>
        <v>13765</v>
      </c>
      <c r="L51" s="33">
        <f>IF(AND(C51="No",H51&gt;'Analysis Summary'!$B$5),1,0)</f>
        <v>0</v>
      </c>
      <c r="M51" s="33" t="str">
        <f>IF(L51=1,SUM($L$2:L51),"")</f>
        <v/>
      </c>
      <c r="N51" s="33">
        <f>IF(C51="Yes",COUNTIF($C$2:C51,"Yes"),"")</f>
        <v>43</v>
      </c>
      <c r="P51" s="37">
        <v>50</v>
      </c>
      <c r="Q51" s="32">
        <f t="shared" si="4"/>
        <v>45805</v>
      </c>
      <c r="R51" s="34">
        <f t="shared" si="5"/>
        <v>1934</v>
      </c>
      <c r="S51" s="35">
        <f t="shared" si="6"/>
        <v>32.6</v>
      </c>
      <c r="T51" s="34">
        <f t="shared" si="7"/>
        <v>15160</v>
      </c>
    </row>
    <row r="52" spans="1:20" x14ac:dyDescent="0.25">
      <c r="A52" s="32">
        <f>'Daily Energy'!A52</f>
        <v>45798</v>
      </c>
      <c r="B52" s="33" t="str">
        <f>'Daily Energy'!B52</f>
        <v>Wednesday</v>
      </c>
      <c r="C52" s="33" t="str">
        <f>'Daily Energy'!C52</f>
        <v>Yes</v>
      </c>
      <c r="D52" s="34">
        <f>'Daily Energy'!D52</f>
        <v>1569</v>
      </c>
      <c r="E52" s="35">
        <f>'Daily Energy'!E52</f>
        <v>32.4</v>
      </c>
      <c r="F52" s="34">
        <f>'Daily Energy'!F52</f>
        <v>12338</v>
      </c>
      <c r="G52" s="34">
        <f>'Daily Energy'!G52</f>
        <v>1415</v>
      </c>
      <c r="H52" s="34">
        <f t="shared" si="0"/>
        <v>13753</v>
      </c>
      <c r="I52" s="36">
        <f t="shared" si="1"/>
        <v>45778</v>
      </c>
      <c r="J52" s="34" t="str">
        <f t="shared" si="2"/>
        <v/>
      </c>
      <c r="K52" s="34">
        <f t="shared" si="3"/>
        <v>13753</v>
      </c>
      <c r="L52" s="33">
        <f>IF(AND(C52="No",H52&gt;'Analysis Summary'!$B$5),1,0)</f>
        <v>0</v>
      </c>
      <c r="M52" s="33" t="str">
        <f>IF(L52=1,SUM($L$2:L52),"")</f>
        <v/>
      </c>
      <c r="N52" s="33">
        <f>IF(C52="Yes",COUNTIF($C$2:C52,"Yes"),"")</f>
        <v>44</v>
      </c>
      <c r="P52" s="37">
        <v>51</v>
      </c>
      <c r="Q52" s="32">
        <f t="shared" si="4"/>
        <v>45806</v>
      </c>
      <c r="R52" s="34">
        <f t="shared" si="5"/>
        <v>1806</v>
      </c>
      <c r="S52" s="35">
        <f t="shared" si="6"/>
        <v>32.9</v>
      </c>
      <c r="T52" s="34">
        <f t="shared" si="7"/>
        <v>14777</v>
      </c>
    </row>
    <row r="53" spans="1:20" x14ac:dyDescent="0.25">
      <c r="A53" s="32">
        <f>'Daily Energy'!A53</f>
        <v>45799</v>
      </c>
      <c r="B53" s="33" t="str">
        <f>'Daily Energy'!B53</f>
        <v>Thursday</v>
      </c>
      <c r="C53" s="33" t="str">
        <f>'Daily Energy'!C53</f>
        <v>Yes</v>
      </c>
      <c r="D53" s="34">
        <f>'Daily Energy'!D53</f>
        <v>1731</v>
      </c>
      <c r="E53" s="35">
        <f>'Daily Energy'!E53</f>
        <v>27.8</v>
      </c>
      <c r="F53" s="34">
        <f>'Daily Energy'!F53</f>
        <v>12127</v>
      </c>
      <c r="G53" s="34">
        <f>'Daily Energy'!G53</f>
        <v>1181</v>
      </c>
      <c r="H53" s="34">
        <f t="shared" si="0"/>
        <v>13308</v>
      </c>
      <c r="I53" s="36">
        <f t="shared" si="1"/>
        <v>45778</v>
      </c>
      <c r="J53" s="34" t="str">
        <f t="shared" si="2"/>
        <v/>
      </c>
      <c r="K53" s="34">
        <f t="shared" si="3"/>
        <v>13308</v>
      </c>
      <c r="L53" s="33">
        <f>IF(AND(C53="No",H53&gt;'Analysis Summary'!$B$5),1,0)</f>
        <v>0</v>
      </c>
      <c r="M53" s="33" t="str">
        <f>IF(L53=1,SUM($L$2:L53),"")</f>
        <v/>
      </c>
      <c r="N53" s="33">
        <f>IF(C53="Yes",COUNTIF($C$2:C53,"Yes"),"")</f>
        <v>45</v>
      </c>
      <c r="P53" s="37">
        <v>52</v>
      </c>
      <c r="Q53" s="32">
        <f t="shared" si="4"/>
        <v>45807</v>
      </c>
      <c r="R53" s="34">
        <f t="shared" si="5"/>
        <v>1753</v>
      </c>
      <c r="S53" s="35">
        <f t="shared" si="6"/>
        <v>30.9</v>
      </c>
      <c r="T53" s="34">
        <f t="shared" si="7"/>
        <v>13324</v>
      </c>
    </row>
    <row r="54" spans="1:20" x14ac:dyDescent="0.25">
      <c r="A54" s="32">
        <f>'Daily Energy'!A54</f>
        <v>45800</v>
      </c>
      <c r="B54" s="33" t="str">
        <f>'Daily Energy'!B54</f>
        <v>Friday</v>
      </c>
      <c r="C54" s="33" t="str">
        <f>'Daily Energy'!C54</f>
        <v>Yes</v>
      </c>
      <c r="D54" s="34">
        <f>'Daily Energy'!D54</f>
        <v>1823</v>
      </c>
      <c r="E54" s="35">
        <f>'Daily Energy'!E54</f>
        <v>28.7</v>
      </c>
      <c r="F54" s="34">
        <f>'Daily Energy'!F54</f>
        <v>12509</v>
      </c>
      <c r="G54" s="34">
        <f>'Daily Energy'!G54</f>
        <v>1389</v>
      </c>
      <c r="H54" s="34">
        <f t="shared" si="0"/>
        <v>13898</v>
      </c>
      <c r="I54" s="36">
        <f t="shared" si="1"/>
        <v>45778</v>
      </c>
      <c r="J54" s="34" t="str">
        <f t="shared" si="2"/>
        <v/>
      </c>
      <c r="K54" s="34">
        <f t="shared" si="3"/>
        <v>13898</v>
      </c>
      <c r="L54" s="33">
        <f>IF(AND(C54="No",H54&gt;'Analysis Summary'!$B$5),1,0)</f>
        <v>0</v>
      </c>
      <c r="M54" s="33" t="str">
        <f>IF(L54=1,SUM($L$2:L54),"")</f>
        <v/>
      </c>
      <c r="N54" s="33">
        <f>IF(C54="Yes",COUNTIF($C$2:C54,"Yes"),"")</f>
        <v>46</v>
      </c>
      <c r="P54" s="37">
        <v>53</v>
      </c>
      <c r="Q54" s="32">
        <f t="shared" si="4"/>
        <v>45808</v>
      </c>
      <c r="R54" s="34">
        <f t="shared" si="5"/>
        <v>1911</v>
      </c>
      <c r="S54" s="35">
        <f t="shared" si="6"/>
        <v>29.6</v>
      </c>
      <c r="T54" s="34">
        <f t="shared" si="7"/>
        <v>15045</v>
      </c>
    </row>
    <row r="55" spans="1:20" x14ac:dyDescent="0.25">
      <c r="A55" s="32">
        <f>'Daily Energy'!A55</f>
        <v>45801</v>
      </c>
      <c r="B55" s="33" t="str">
        <f>'Daily Energy'!B55</f>
        <v>Saturday</v>
      </c>
      <c r="C55" s="33" t="str">
        <f>'Daily Energy'!C55</f>
        <v>Yes</v>
      </c>
      <c r="D55" s="34">
        <f>'Daily Energy'!D55</f>
        <v>1726</v>
      </c>
      <c r="E55" s="35">
        <f>'Daily Energy'!E55</f>
        <v>29.9</v>
      </c>
      <c r="F55" s="34">
        <f>'Daily Energy'!F55</f>
        <v>12403</v>
      </c>
      <c r="G55" s="34">
        <f>'Daily Energy'!G55</f>
        <v>1611</v>
      </c>
      <c r="H55" s="34">
        <f t="shared" si="0"/>
        <v>14014</v>
      </c>
      <c r="I55" s="36">
        <f t="shared" si="1"/>
        <v>45778</v>
      </c>
      <c r="J55" s="34" t="str">
        <f t="shared" si="2"/>
        <v/>
      </c>
      <c r="K55" s="34">
        <f t="shared" si="3"/>
        <v>14014</v>
      </c>
      <c r="L55" s="33">
        <f>IF(AND(C55="No",H55&gt;'Analysis Summary'!$B$5),1,0)</f>
        <v>0</v>
      </c>
      <c r="M55" s="33" t="str">
        <f>IF(L55=1,SUM($L$2:L55),"")</f>
        <v/>
      </c>
      <c r="N55" s="33">
        <f>IF(C55="Yes",COUNTIF($C$2:C55,"Yes"),"")</f>
        <v>47</v>
      </c>
      <c r="P55" s="37">
        <v>54</v>
      </c>
      <c r="Q55" s="32">
        <f t="shared" si="4"/>
        <v>45810</v>
      </c>
      <c r="R55" s="34">
        <f t="shared" si="5"/>
        <v>1869</v>
      </c>
      <c r="S55" s="35">
        <f t="shared" si="6"/>
        <v>31.7</v>
      </c>
      <c r="T55" s="34">
        <f t="shared" si="7"/>
        <v>14278</v>
      </c>
    </row>
    <row r="56" spans="1:20" x14ac:dyDescent="0.25">
      <c r="A56" s="32">
        <f>'Daily Energy'!A56</f>
        <v>45802</v>
      </c>
      <c r="B56" s="33" t="str">
        <f>'Daily Energy'!B56</f>
        <v>Sunday</v>
      </c>
      <c r="C56" s="33" t="str">
        <f>'Daily Energy'!C56</f>
        <v>No</v>
      </c>
      <c r="D56" s="34">
        <f>'Daily Energy'!D56</f>
        <v>0</v>
      </c>
      <c r="E56" s="35">
        <f>'Daily Energy'!E56</f>
        <v>29.2</v>
      </c>
      <c r="F56" s="34">
        <f>'Daily Energy'!F56</f>
        <v>3123</v>
      </c>
      <c r="G56" s="34">
        <f>'Daily Energy'!G56</f>
        <v>1481</v>
      </c>
      <c r="H56" s="34">
        <f t="shared" si="0"/>
        <v>4604</v>
      </c>
      <c r="I56" s="36">
        <f t="shared" si="1"/>
        <v>45778</v>
      </c>
      <c r="J56" s="34">
        <f t="shared" si="2"/>
        <v>4604</v>
      </c>
      <c r="K56" s="34" t="str">
        <f t="shared" si="3"/>
        <v/>
      </c>
      <c r="L56" s="33">
        <f>IF(AND(C56="No",H56&gt;'Analysis Summary'!$B$5),1,0)</f>
        <v>0</v>
      </c>
      <c r="M56" s="33" t="str">
        <f>IF(L56=1,SUM($L$2:L56),"")</f>
        <v/>
      </c>
      <c r="N56" s="33" t="str">
        <f>IF(C56="Yes",COUNTIF($C$2:C56,"Yes"),"")</f>
        <v/>
      </c>
      <c r="P56" s="37">
        <v>55</v>
      </c>
      <c r="Q56" s="32">
        <f t="shared" si="4"/>
        <v>45811</v>
      </c>
      <c r="R56" s="34">
        <f t="shared" si="5"/>
        <v>1841</v>
      </c>
      <c r="S56" s="35">
        <f t="shared" si="6"/>
        <v>31.6</v>
      </c>
      <c r="T56" s="34">
        <f t="shared" si="7"/>
        <v>13583</v>
      </c>
    </row>
    <row r="57" spans="1:20" x14ac:dyDescent="0.25">
      <c r="A57" s="32">
        <f>'Daily Energy'!A57</f>
        <v>45803</v>
      </c>
      <c r="B57" s="33" t="str">
        <f>'Daily Energy'!B57</f>
        <v>Monday</v>
      </c>
      <c r="C57" s="33" t="str">
        <f>'Daily Energy'!C57</f>
        <v>Yes</v>
      </c>
      <c r="D57" s="34">
        <f>'Daily Energy'!D57</f>
        <v>1869</v>
      </c>
      <c r="E57" s="35">
        <f>'Daily Energy'!E57</f>
        <v>29.7</v>
      </c>
      <c r="F57" s="34">
        <f>'Daily Energy'!F57</f>
        <v>12791</v>
      </c>
      <c r="G57" s="34">
        <f>'Daily Energy'!G57</f>
        <v>1650</v>
      </c>
      <c r="H57" s="34">
        <f t="shared" si="0"/>
        <v>14441</v>
      </c>
      <c r="I57" s="36">
        <f t="shared" si="1"/>
        <v>45778</v>
      </c>
      <c r="J57" s="34" t="str">
        <f t="shared" si="2"/>
        <v/>
      </c>
      <c r="K57" s="34">
        <f t="shared" si="3"/>
        <v>14441</v>
      </c>
      <c r="L57" s="33">
        <f>IF(AND(C57="No",H57&gt;'Analysis Summary'!$B$5),1,0)</f>
        <v>0</v>
      </c>
      <c r="M57" s="33" t="str">
        <f>IF(L57=1,SUM($L$2:L57),"")</f>
        <v/>
      </c>
      <c r="N57" s="33">
        <f>IF(C57="Yes",COUNTIF($C$2:C57,"Yes"),"")</f>
        <v>48</v>
      </c>
      <c r="P57" s="37">
        <v>56</v>
      </c>
      <c r="Q57" s="32">
        <f t="shared" si="4"/>
        <v>45812</v>
      </c>
      <c r="R57" s="34">
        <f t="shared" si="5"/>
        <v>1856</v>
      </c>
      <c r="S57" s="35">
        <f t="shared" si="6"/>
        <v>29.2</v>
      </c>
      <c r="T57" s="34">
        <f t="shared" si="7"/>
        <v>12684</v>
      </c>
    </row>
    <row r="58" spans="1:20" x14ac:dyDescent="0.25">
      <c r="A58" s="32">
        <f>'Daily Energy'!A58</f>
        <v>45804</v>
      </c>
      <c r="B58" s="33" t="str">
        <f>'Daily Energy'!B58</f>
        <v>Tuesday</v>
      </c>
      <c r="C58" s="33" t="str">
        <f>'Daily Energy'!C58</f>
        <v>Yes</v>
      </c>
      <c r="D58" s="34">
        <f>'Daily Energy'!D58</f>
        <v>1870</v>
      </c>
      <c r="E58" s="35">
        <f>'Daily Energy'!E58</f>
        <v>32</v>
      </c>
      <c r="F58" s="34">
        <f>'Daily Energy'!F58</f>
        <v>13529</v>
      </c>
      <c r="G58" s="34">
        <f>'Daily Energy'!G58</f>
        <v>1306</v>
      </c>
      <c r="H58" s="34">
        <f t="shared" si="0"/>
        <v>14835</v>
      </c>
      <c r="I58" s="36">
        <f t="shared" si="1"/>
        <v>45778</v>
      </c>
      <c r="J58" s="34" t="str">
        <f t="shared" si="2"/>
        <v/>
      </c>
      <c r="K58" s="34">
        <f t="shared" si="3"/>
        <v>14835</v>
      </c>
      <c r="L58" s="33">
        <f>IF(AND(C58="No",H58&gt;'Analysis Summary'!$B$5),1,0)</f>
        <v>0</v>
      </c>
      <c r="M58" s="33" t="str">
        <f>IF(L58=1,SUM($L$2:L58),"")</f>
        <v/>
      </c>
      <c r="N58" s="33">
        <f>IF(C58="Yes",COUNTIF($C$2:C58,"Yes"),"")</f>
        <v>49</v>
      </c>
      <c r="P58" s="37">
        <v>57</v>
      </c>
      <c r="Q58" s="32">
        <f t="shared" si="4"/>
        <v>45813</v>
      </c>
      <c r="R58" s="34">
        <f t="shared" si="5"/>
        <v>2004</v>
      </c>
      <c r="S58" s="35">
        <f t="shared" si="6"/>
        <v>34.5</v>
      </c>
      <c r="T58" s="34">
        <f t="shared" si="7"/>
        <v>15128</v>
      </c>
    </row>
    <row r="59" spans="1:20" x14ac:dyDescent="0.25">
      <c r="A59" s="32">
        <f>'Daily Energy'!A59</f>
        <v>45805</v>
      </c>
      <c r="B59" s="33" t="str">
        <f>'Daily Energy'!B59</f>
        <v>Wednesday</v>
      </c>
      <c r="C59" s="33" t="str">
        <f>'Daily Energy'!C59</f>
        <v>Yes</v>
      </c>
      <c r="D59" s="34">
        <f>'Daily Energy'!D59</f>
        <v>1934</v>
      </c>
      <c r="E59" s="35">
        <f>'Daily Energy'!E59</f>
        <v>32.6</v>
      </c>
      <c r="F59" s="34">
        <f>'Daily Energy'!F59</f>
        <v>13687</v>
      </c>
      <c r="G59" s="34">
        <f>'Daily Energy'!G59</f>
        <v>1473</v>
      </c>
      <c r="H59" s="34">
        <f t="shared" si="0"/>
        <v>15160</v>
      </c>
      <c r="I59" s="36">
        <f t="shared" si="1"/>
        <v>45778</v>
      </c>
      <c r="J59" s="34" t="str">
        <f t="shared" si="2"/>
        <v/>
      </c>
      <c r="K59" s="34">
        <f t="shared" si="3"/>
        <v>15160</v>
      </c>
      <c r="L59" s="33">
        <f>IF(AND(C59="No",H59&gt;'Analysis Summary'!$B$5),1,0)</f>
        <v>0</v>
      </c>
      <c r="M59" s="33" t="str">
        <f>IF(L59=1,SUM($L$2:L59),"")</f>
        <v/>
      </c>
      <c r="N59" s="33">
        <f>IF(C59="Yes",COUNTIF($C$2:C59,"Yes"),"")</f>
        <v>50</v>
      </c>
      <c r="P59" s="37">
        <v>58</v>
      </c>
      <c r="Q59" s="32">
        <f t="shared" si="4"/>
        <v>45814</v>
      </c>
      <c r="R59" s="34">
        <f t="shared" si="5"/>
        <v>2017</v>
      </c>
      <c r="S59" s="35">
        <f t="shared" si="6"/>
        <v>31.9</v>
      </c>
      <c r="T59" s="34">
        <f t="shared" si="7"/>
        <v>13493</v>
      </c>
    </row>
    <row r="60" spans="1:20" x14ac:dyDescent="0.25">
      <c r="A60" s="32">
        <f>'Daily Energy'!A60</f>
        <v>45806</v>
      </c>
      <c r="B60" s="33" t="str">
        <f>'Daily Energy'!B60</f>
        <v>Thursday</v>
      </c>
      <c r="C60" s="33" t="str">
        <f>'Daily Energy'!C60</f>
        <v>Yes</v>
      </c>
      <c r="D60" s="34">
        <f>'Daily Energy'!D60</f>
        <v>1806</v>
      </c>
      <c r="E60" s="35">
        <f>'Daily Energy'!E60</f>
        <v>32.9</v>
      </c>
      <c r="F60" s="34">
        <f>'Daily Energy'!F60</f>
        <v>13132</v>
      </c>
      <c r="G60" s="34">
        <f>'Daily Energy'!G60</f>
        <v>1645</v>
      </c>
      <c r="H60" s="34">
        <f t="shared" si="0"/>
        <v>14777</v>
      </c>
      <c r="I60" s="36">
        <f t="shared" si="1"/>
        <v>45778</v>
      </c>
      <c r="J60" s="34" t="str">
        <f t="shared" si="2"/>
        <v/>
      </c>
      <c r="K60" s="34">
        <f t="shared" si="3"/>
        <v>14777</v>
      </c>
      <c r="L60" s="33">
        <f>IF(AND(C60="No",H60&gt;'Analysis Summary'!$B$5),1,0)</f>
        <v>0</v>
      </c>
      <c r="M60" s="33" t="str">
        <f>IF(L60=1,SUM($L$2:L60),"")</f>
        <v/>
      </c>
      <c r="N60" s="33">
        <f>IF(C60="Yes",COUNTIF($C$2:C60,"Yes"),"")</f>
        <v>51</v>
      </c>
      <c r="P60" s="37">
        <v>59</v>
      </c>
      <c r="Q60" s="32">
        <f t="shared" si="4"/>
        <v>45815</v>
      </c>
      <c r="R60" s="34">
        <f t="shared" si="5"/>
        <v>1980</v>
      </c>
      <c r="S60" s="35">
        <f t="shared" si="6"/>
        <v>32</v>
      </c>
      <c r="T60" s="34">
        <f t="shared" si="7"/>
        <v>14480</v>
      </c>
    </row>
    <row r="61" spans="1:20" x14ac:dyDescent="0.25">
      <c r="A61" s="32">
        <f>'Daily Energy'!A61</f>
        <v>45807</v>
      </c>
      <c r="B61" s="33" t="str">
        <f>'Daily Energy'!B61</f>
        <v>Friday</v>
      </c>
      <c r="C61" s="33" t="str">
        <f>'Daily Energy'!C61</f>
        <v>Yes</v>
      </c>
      <c r="D61" s="34">
        <f>'Daily Energy'!D61</f>
        <v>1753</v>
      </c>
      <c r="E61" s="35">
        <f>'Daily Energy'!E61</f>
        <v>30.9</v>
      </c>
      <c r="F61" s="34">
        <f>'Daily Energy'!F61</f>
        <v>11842</v>
      </c>
      <c r="G61" s="34">
        <f>'Daily Energy'!G61</f>
        <v>1482</v>
      </c>
      <c r="H61" s="34">
        <f t="shared" si="0"/>
        <v>13324</v>
      </c>
      <c r="I61" s="36">
        <f t="shared" si="1"/>
        <v>45778</v>
      </c>
      <c r="J61" s="34" t="str">
        <f t="shared" si="2"/>
        <v/>
      </c>
      <c r="K61" s="34">
        <f t="shared" si="3"/>
        <v>13324</v>
      </c>
      <c r="L61" s="33">
        <f>IF(AND(C61="No",H61&gt;'Analysis Summary'!$B$5),1,0)</f>
        <v>0</v>
      </c>
      <c r="M61" s="33" t="str">
        <f>IF(L61=1,SUM($L$2:L61),"")</f>
        <v/>
      </c>
      <c r="N61" s="33">
        <f>IF(C61="Yes",COUNTIF($C$2:C61,"Yes"),"")</f>
        <v>52</v>
      </c>
      <c r="P61" s="37">
        <v>60</v>
      </c>
      <c r="Q61" s="32">
        <f t="shared" si="4"/>
        <v>45817</v>
      </c>
      <c r="R61" s="34">
        <f t="shared" si="5"/>
        <v>1808</v>
      </c>
      <c r="S61" s="35">
        <f t="shared" si="6"/>
        <v>32.9</v>
      </c>
      <c r="T61" s="34">
        <f t="shared" si="7"/>
        <v>13655</v>
      </c>
    </row>
    <row r="62" spans="1:20" x14ac:dyDescent="0.25">
      <c r="A62" s="32">
        <f>'Daily Energy'!A62</f>
        <v>45808</v>
      </c>
      <c r="B62" s="33" t="str">
        <f>'Daily Energy'!B62</f>
        <v>Saturday</v>
      </c>
      <c r="C62" s="33" t="str">
        <f>'Daily Energy'!C62</f>
        <v>Yes</v>
      </c>
      <c r="D62" s="34">
        <f>'Daily Energy'!D62</f>
        <v>1911</v>
      </c>
      <c r="E62" s="35">
        <f>'Daily Energy'!E62</f>
        <v>29.6</v>
      </c>
      <c r="F62" s="34">
        <f>'Daily Energy'!F62</f>
        <v>13437</v>
      </c>
      <c r="G62" s="34">
        <f>'Daily Energy'!G62</f>
        <v>1608</v>
      </c>
      <c r="H62" s="34">
        <f t="shared" si="0"/>
        <v>15045</v>
      </c>
      <c r="I62" s="36">
        <f t="shared" si="1"/>
        <v>45778</v>
      </c>
      <c r="J62" s="34" t="str">
        <f t="shared" si="2"/>
        <v/>
      </c>
      <c r="K62" s="34">
        <f t="shared" si="3"/>
        <v>15045</v>
      </c>
      <c r="L62" s="33">
        <f>IF(AND(C62="No",H62&gt;'Analysis Summary'!$B$5),1,0)</f>
        <v>0</v>
      </c>
      <c r="M62" s="33" t="str">
        <f>IF(L62=1,SUM($L$2:L62),"")</f>
        <v/>
      </c>
      <c r="N62" s="33">
        <f>IF(C62="Yes",COUNTIF($C$2:C62,"Yes"),"")</f>
        <v>53</v>
      </c>
      <c r="P62" s="37">
        <v>61</v>
      </c>
      <c r="Q62" s="32">
        <f t="shared" si="4"/>
        <v>45818</v>
      </c>
      <c r="R62" s="34">
        <f t="shared" si="5"/>
        <v>1779</v>
      </c>
      <c r="S62" s="35">
        <f t="shared" si="6"/>
        <v>29.8</v>
      </c>
      <c r="T62" s="34">
        <f t="shared" si="7"/>
        <v>13129</v>
      </c>
    </row>
    <row r="63" spans="1:20" x14ac:dyDescent="0.25">
      <c r="A63" s="32">
        <f>'Daily Energy'!A63</f>
        <v>45809</v>
      </c>
      <c r="B63" s="33" t="str">
        <f>'Daily Energy'!B63</f>
        <v>Sunday</v>
      </c>
      <c r="C63" s="33" t="str">
        <f>'Daily Energy'!C63</f>
        <v>No</v>
      </c>
      <c r="D63" s="34">
        <f>'Daily Energy'!D63</f>
        <v>0</v>
      </c>
      <c r="E63" s="35">
        <f>'Daily Energy'!E63</f>
        <v>29.9</v>
      </c>
      <c r="F63" s="34">
        <f>'Daily Energy'!F63</f>
        <v>3483</v>
      </c>
      <c r="G63" s="34">
        <f>'Daily Energy'!G63</f>
        <v>831</v>
      </c>
      <c r="H63" s="34">
        <f t="shared" si="0"/>
        <v>4314</v>
      </c>
      <c r="I63" s="36">
        <f t="shared" si="1"/>
        <v>45809</v>
      </c>
      <c r="J63" s="34">
        <f t="shared" si="2"/>
        <v>4314</v>
      </c>
      <c r="K63" s="34" t="str">
        <f t="shared" si="3"/>
        <v/>
      </c>
      <c r="L63" s="33">
        <f>IF(AND(C63="No",H63&gt;'Analysis Summary'!$B$5),1,0)</f>
        <v>0</v>
      </c>
      <c r="M63" s="33" t="str">
        <f>IF(L63=1,SUM($L$2:L63),"")</f>
        <v/>
      </c>
      <c r="N63" s="33" t="str">
        <f>IF(C63="Yes",COUNTIF($C$2:C63,"Yes"),"")</f>
        <v/>
      </c>
      <c r="P63" s="37">
        <v>62</v>
      </c>
      <c r="Q63" s="32">
        <f t="shared" si="4"/>
        <v>45819</v>
      </c>
      <c r="R63" s="34">
        <f t="shared" si="5"/>
        <v>1665</v>
      </c>
      <c r="S63" s="35">
        <f t="shared" si="6"/>
        <v>32.700000000000003</v>
      </c>
      <c r="T63" s="34">
        <f t="shared" si="7"/>
        <v>13202</v>
      </c>
    </row>
    <row r="64" spans="1:20" x14ac:dyDescent="0.25">
      <c r="A64" s="32">
        <f>'Daily Energy'!A64</f>
        <v>45810</v>
      </c>
      <c r="B64" s="33" t="str">
        <f>'Daily Energy'!B64</f>
        <v>Monday</v>
      </c>
      <c r="C64" s="33" t="str">
        <f>'Daily Energy'!C64</f>
        <v>Yes</v>
      </c>
      <c r="D64" s="34">
        <f>'Daily Energy'!D64</f>
        <v>1869</v>
      </c>
      <c r="E64" s="35">
        <f>'Daily Energy'!E64</f>
        <v>31.7</v>
      </c>
      <c r="F64" s="34">
        <f>'Daily Energy'!F64</f>
        <v>13311</v>
      </c>
      <c r="G64" s="34">
        <f>'Daily Energy'!G64</f>
        <v>967</v>
      </c>
      <c r="H64" s="34">
        <f t="shared" si="0"/>
        <v>14278</v>
      </c>
      <c r="I64" s="36">
        <f t="shared" si="1"/>
        <v>45809</v>
      </c>
      <c r="J64" s="34" t="str">
        <f t="shared" si="2"/>
        <v/>
      </c>
      <c r="K64" s="34">
        <f t="shared" si="3"/>
        <v>14278</v>
      </c>
      <c r="L64" s="33">
        <f>IF(AND(C64="No",H64&gt;'Analysis Summary'!$B$5),1,0)</f>
        <v>0</v>
      </c>
      <c r="M64" s="33" t="str">
        <f>IF(L64=1,SUM($L$2:L64),"")</f>
        <v/>
      </c>
      <c r="N64" s="33">
        <f>IF(C64="Yes",COUNTIF($C$2:C64,"Yes"),"")</f>
        <v>54</v>
      </c>
      <c r="P64" s="37">
        <v>63</v>
      </c>
      <c r="Q64" s="32">
        <f t="shared" si="4"/>
        <v>45820</v>
      </c>
      <c r="R64" s="34">
        <f t="shared" si="5"/>
        <v>1991</v>
      </c>
      <c r="S64" s="35">
        <f t="shared" si="6"/>
        <v>32.1</v>
      </c>
      <c r="T64" s="34">
        <f t="shared" si="7"/>
        <v>14879</v>
      </c>
    </row>
    <row r="65" spans="1:20" x14ac:dyDescent="0.25">
      <c r="A65" s="32">
        <f>'Daily Energy'!A65</f>
        <v>45811</v>
      </c>
      <c r="B65" s="33" t="str">
        <f>'Daily Energy'!B65</f>
        <v>Tuesday</v>
      </c>
      <c r="C65" s="33" t="str">
        <f>'Daily Energy'!C65</f>
        <v>Yes</v>
      </c>
      <c r="D65" s="34">
        <f>'Daily Energy'!D65</f>
        <v>1841</v>
      </c>
      <c r="E65" s="35">
        <f>'Daily Energy'!E65</f>
        <v>31.6</v>
      </c>
      <c r="F65" s="34">
        <f>'Daily Energy'!F65</f>
        <v>12972</v>
      </c>
      <c r="G65" s="34">
        <f>'Daily Energy'!G65</f>
        <v>611</v>
      </c>
      <c r="H65" s="34">
        <f t="shared" si="0"/>
        <v>13583</v>
      </c>
      <c r="I65" s="36">
        <f t="shared" si="1"/>
        <v>45809</v>
      </c>
      <c r="J65" s="34" t="str">
        <f t="shared" si="2"/>
        <v/>
      </c>
      <c r="K65" s="34">
        <f t="shared" si="3"/>
        <v>13583</v>
      </c>
      <c r="L65" s="33">
        <f>IF(AND(C65="No",H65&gt;'Analysis Summary'!$B$5),1,0)</f>
        <v>0</v>
      </c>
      <c r="M65" s="33" t="str">
        <f>IF(L65=1,SUM($L$2:L65),"")</f>
        <v/>
      </c>
      <c r="N65" s="33">
        <f>IF(C65="Yes",COUNTIF($C$2:C65,"Yes"),"")</f>
        <v>55</v>
      </c>
      <c r="P65" s="37">
        <v>64</v>
      </c>
      <c r="Q65" s="32">
        <f t="shared" si="4"/>
        <v>45821</v>
      </c>
      <c r="R65" s="34">
        <f t="shared" si="5"/>
        <v>1613</v>
      </c>
      <c r="S65" s="35">
        <f t="shared" si="6"/>
        <v>30.7</v>
      </c>
      <c r="T65" s="34">
        <f t="shared" si="7"/>
        <v>12831</v>
      </c>
    </row>
    <row r="66" spans="1:20" x14ac:dyDescent="0.25">
      <c r="A66" s="32">
        <f>'Daily Energy'!A66</f>
        <v>45812</v>
      </c>
      <c r="B66" s="33" t="str">
        <f>'Daily Energy'!B66</f>
        <v>Wednesday</v>
      </c>
      <c r="C66" s="33" t="str">
        <f>'Daily Energy'!C66</f>
        <v>Yes</v>
      </c>
      <c r="D66" s="34">
        <f>'Daily Energy'!D66</f>
        <v>1856</v>
      </c>
      <c r="E66" s="35">
        <f>'Daily Energy'!E66</f>
        <v>29.2</v>
      </c>
      <c r="F66" s="34">
        <f>'Daily Energy'!F66</f>
        <v>12229</v>
      </c>
      <c r="G66" s="34">
        <f>'Daily Energy'!G66</f>
        <v>455</v>
      </c>
      <c r="H66" s="34">
        <f t="shared" ref="H66:H129" si="8">F66+G66</f>
        <v>12684</v>
      </c>
      <c r="I66" s="36">
        <f t="shared" ref="I66:I129" si="9">DATE(YEAR(A66),MONTH(A66),1)</f>
        <v>45809</v>
      </c>
      <c r="J66" s="34" t="str">
        <f t="shared" ref="J66:J129" si="10">IF(C66="No",H66,"")</f>
        <v/>
      </c>
      <c r="K66" s="34">
        <f t="shared" ref="K66:K129" si="11">IF(C66="Yes",H66,"")</f>
        <v>12684</v>
      </c>
      <c r="L66" s="33">
        <f>IF(AND(C66="No",H66&gt;'Analysis Summary'!$B$5),1,0)</f>
        <v>0</v>
      </c>
      <c r="M66" s="33" t="str">
        <f>IF(L66=1,SUM($L$2:L66),"")</f>
        <v/>
      </c>
      <c r="N66" s="33">
        <f>IF(C66="Yes",COUNTIF($C$2:C66,"Yes"),"")</f>
        <v>56</v>
      </c>
      <c r="P66" s="37">
        <v>65</v>
      </c>
      <c r="Q66" s="32">
        <f t="shared" ref="Q66:Q129" si="12">INDEX($A$2:$A$366,MATCH($P66,$N$2:$N$366,0))</f>
        <v>45822</v>
      </c>
      <c r="R66" s="34">
        <f t="shared" ref="R66:R129" si="13">INDEX($D$2:$D$366,MATCH($P66,$N$2:$N$366,0))</f>
        <v>1674</v>
      </c>
      <c r="S66" s="35">
        <f t="shared" ref="S66:S129" si="14">INDEX($E$2:$E$366,MATCH($P66,$N$2:$N$366,0))</f>
        <v>31.5</v>
      </c>
      <c r="T66" s="34">
        <f t="shared" ref="T66:T129" si="15">INDEX($H$2:$H$366,MATCH($P66,$N$2:$N$366,0))</f>
        <v>13296</v>
      </c>
    </row>
    <row r="67" spans="1:20" x14ac:dyDescent="0.25">
      <c r="A67" s="32">
        <f>'Daily Energy'!A67</f>
        <v>45813</v>
      </c>
      <c r="B67" s="33" t="str">
        <f>'Daily Energy'!B67</f>
        <v>Thursday</v>
      </c>
      <c r="C67" s="33" t="str">
        <f>'Daily Energy'!C67</f>
        <v>Yes</v>
      </c>
      <c r="D67" s="34">
        <f>'Daily Energy'!D67</f>
        <v>2004</v>
      </c>
      <c r="E67" s="35">
        <f>'Daily Energy'!E67</f>
        <v>34.5</v>
      </c>
      <c r="F67" s="34">
        <f>'Daily Energy'!F67</f>
        <v>14525</v>
      </c>
      <c r="G67" s="34">
        <f>'Daily Energy'!G67</f>
        <v>603</v>
      </c>
      <c r="H67" s="34">
        <f t="shared" si="8"/>
        <v>15128</v>
      </c>
      <c r="I67" s="36">
        <f t="shared" si="9"/>
        <v>45809</v>
      </c>
      <c r="J67" s="34" t="str">
        <f t="shared" si="10"/>
        <v/>
      </c>
      <c r="K67" s="34">
        <f t="shared" si="11"/>
        <v>15128</v>
      </c>
      <c r="L67" s="33">
        <f>IF(AND(C67="No",H67&gt;'Analysis Summary'!$B$5),1,0)</f>
        <v>0</v>
      </c>
      <c r="M67" s="33" t="str">
        <f>IF(L67=1,SUM($L$2:L67),"")</f>
        <v/>
      </c>
      <c r="N67" s="33">
        <f>IF(C67="Yes",COUNTIF($C$2:C67,"Yes"),"")</f>
        <v>57</v>
      </c>
      <c r="P67" s="37">
        <v>66</v>
      </c>
      <c r="Q67" s="32">
        <f t="shared" si="12"/>
        <v>45824</v>
      </c>
      <c r="R67" s="34">
        <f t="shared" si="13"/>
        <v>1812</v>
      </c>
      <c r="S67" s="35">
        <f t="shared" si="14"/>
        <v>32.200000000000003</v>
      </c>
      <c r="T67" s="34">
        <f t="shared" si="15"/>
        <v>13955</v>
      </c>
    </row>
    <row r="68" spans="1:20" x14ac:dyDescent="0.25">
      <c r="A68" s="32">
        <f>'Daily Energy'!A68</f>
        <v>45814</v>
      </c>
      <c r="B68" s="33" t="str">
        <f>'Daily Energy'!B68</f>
        <v>Friday</v>
      </c>
      <c r="C68" s="33" t="str">
        <f>'Daily Energy'!C68</f>
        <v>Yes</v>
      </c>
      <c r="D68" s="34">
        <f>'Daily Energy'!D68</f>
        <v>2017</v>
      </c>
      <c r="E68" s="35">
        <f>'Daily Energy'!E68</f>
        <v>31.9</v>
      </c>
      <c r="F68" s="34">
        <f>'Daily Energy'!F68</f>
        <v>13117</v>
      </c>
      <c r="G68" s="34">
        <f>'Daily Energy'!G68</f>
        <v>376</v>
      </c>
      <c r="H68" s="34">
        <f t="shared" si="8"/>
        <v>13493</v>
      </c>
      <c r="I68" s="36">
        <f t="shared" si="9"/>
        <v>45809</v>
      </c>
      <c r="J68" s="34" t="str">
        <f t="shared" si="10"/>
        <v/>
      </c>
      <c r="K68" s="34">
        <f t="shared" si="11"/>
        <v>13493</v>
      </c>
      <c r="L68" s="33">
        <f>IF(AND(C68="No",H68&gt;'Analysis Summary'!$B$5),1,0)</f>
        <v>0</v>
      </c>
      <c r="M68" s="33" t="str">
        <f>IF(L68=1,SUM($L$2:L68),"")</f>
        <v/>
      </c>
      <c r="N68" s="33">
        <f>IF(C68="Yes",COUNTIF($C$2:C68,"Yes"),"")</f>
        <v>58</v>
      </c>
      <c r="P68" s="37">
        <v>67</v>
      </c>
      <c r="Q68" s="32">
        <f t="shared" si="12"/>
        <v>45825</v>
      </c>
      <c r="R68" s="34">
        <f t="shared" si="13"/>
        <v>1645</v>
      </c>
      <c r="S68" s="35">
        <f t="shared" si="14"/>
        <v>33</v>
      </c>
      <c r="T68" s="34">
        <f t="shared" si="15"/>
        <v>13351</v>
      </c>
    </row>
    <row r="69" spans="1:20" x14ac:dyDescent="0.25">
      <c r="A69" s="32">
        <f>'Daily Energy'!A69</f>
        <v>45815</v>
      </c>
      <c r="B69" s="33" t="str">
        <f>'Daily Energy'!B69</f>
        <v>Saturday</v>
      </c>
      <c r="C69" s="33" t="str">
        <f>'Daily Energy'!C69</f>
        <v>Yes</v>
      </c>
      <c r="D69" s="34">
        <f>'Daily Energy'!D69</f>
        <v>1980</v>
      </c>
      <c r="E69" s="35">
        <f>'Daily Energy'!E69</f>
        <v>32</v>
      </c>
      <c r="F69" s="34">
        <f>'Daily Energy'!F69</f>
        <v>13942</v>
      </c>
      <c r="G69" s="34">
        <f>'Daily Energy'!G69</f>
        <v>538</v>
      </c>
      <c r="H69" s="34">
        <f t="shared" si="8"/>
        <v>14480</v>
      </c>
      <c r="I69" s="36">
        <f t="shared" si="9"/>
        <v>45809</v>
      </c>
      <c r="J69" s="34" t="str">
        <f t="shared" si="10"/>
        <v/>
      </c>
      <c r="K69" s="34">
        <f t="shared" si="11"/>
        <v>14480</v>
      </c>
      <c r="L69" s="33">
        <f>IF(AND(C69="No",H69&gt;'Analysis Summary'!$B$5),1,0)</f>
        <v>0</v>
      </c>
      <c r="M69" s="33" t="str">
        <f>IF(L69=1,SUM($L$2:L69),"")</f>
        <v/>
      </c>
      <c r="N69" s="33">
        <f>IF(C69="Yes",COUNTIF($C$2:C69,"Yes"),"")</f>
        <v>59</v>
      </c>
      <c r="P69" s="37">
        <v>68</v>
      </c>
      <c r="Q69" s="32">
        <f t="shared" si="12"/>
        <v>45826</v>
      </c>
      <c r="R69" s="34">
        <f t="shared" si="13"/>
        <v>1830</v>
      </c>
      <c r="S69" s="35">
        <f t="shared" si="14"/>
        <v>33</v>
      </c>
      <c r="T69" s="34">
        <f t="shared" si="15"/>
        <v>14521</v>
      </c>
    </row>
    <row r="70" spans="1:20" x14ac:dyDescent="0.25">
      <c r="A70" s="32">
        <f>'Daily Energy'!A70</f>
        <v>45816</v>
      </c>
      <c r="B70" s="33" t="str">
        <f>'Daily Energy'!B70</f>
        <v>Sunday</v>
      </c>
      <c r="C70" s="33" t="str">
        <f>'Daily Energy'!C70</f>
        <v>No</v>
      </c>
      <c r="D70" s="34">
        <f>'Daily Energy'!D70</f>
        <v>0</v>
      </c>
      <c r="E70" s="35">
        <f>'Daily Energy'!E70</f>
        <v>30.9</v>
      </c>
      <c r="F70" s="34">
        <f>'Daily Energy'!F70</f>
        <v>3510</v>
      </c>
      <c r="G70" s="34">
        <f>'Daily Energy'!G70</f>
        <v>952</v>
      </c>
      <c r="H70" s="34">
        <f t="shared" si="8"/>
        <v>4462</v>
      </c>
      <c r="I70" s="36">
        <f t="shared" si="9"/>
        <v>45809</v>
      </c>
      <c r="J70" s="34">
        <f t="shared" si="10"/>
        <v>4462</v>
      </c>
      <c r="K70" s="34" t="str">
        <f t="shared" si="11"/>
        <v/>
      </c>
      <c r="L70" s="33">
        <f>IF(AND(C70="No",H70&gt;'Analysis Summary'!$B$5),1,0)</f>
        <v>0</v>
      </c>
      <c r="M70" s="33" t="str">
        <f>IF(L70=1,SUM($L$2:L70),"")</f>
        <v/>
      </c>
      <c r="N70" s="33" t="str">
        <f>IF(C70="Yes",COUNTIF($C$2:C70,"Yes"),"")</f>
        <v/>
      </c>
      <c r="P70" s="37">
        <v>69</v>
      </c>
      <c r="Q70" s="32">
        <f t="shared" si="12"/>
        <v>45827</v>
      </c>
      <c r="R70" s="34">
        <f t="shared" si="13"/>
        <v>1731</v>
      </c>
      <c r="S70" s="35">
        <f t="shared" si="14"/>
        <v>32.299999999999997</v>
      </c>
      <c r="T70" s="34">
        <f t="shared" si="15"/>
        <v>13913</v>
      </c>
    </row>
    <row r="71" spans="1:20" x14ac:dyDescent="0.25">
      <c r="A71" s="32">
        <f>'Daily Energy'!A71</f>
        <v>45817</v>
      </c>
      <c r="B71" s="33" t="str">
        <f>'Daily Energy'!B71</f>
        <v>Monday</v>
      </c>
      <c r="C71" s="33" t="str">
        <f>'Daily Energy'!C71</f>
        <v>Yes</v>
      </c>
      <c r="D71" s="34">
        <f>'Daily Energy'!D71</f>
        <v>1808</v>
      </c>
      <c r="E71" s="35">
        <f>'Daily Energy'!E71</f>
        <v>32.9</v>
      </c>
      <c r="F71" s="34">
        <f>'Daily Energy'!F71</f>
        <v>13364</v>
      </c>
      <c r="G71" s="34">
        <f>'Daily Energy'!G71</f>
        <v>291</v>
      </c>
      <c r="H71" s="34">
        <f t="shared" si="8"/>
        <v>13655</v>
      </c>
      <c r="I71" s="36">
        <f t="shared" si="9"/>
        <v>45809</v>
      </c>
      <c r="J71" s="34" t="str">
        <f t="shared" si="10"/>
        <v/>
      </c>
      <c r="K71" s="34">
        <f t="shared" si="11"/>
        <v>13655</v>
      </c>
      <c r="L71" s="33">
        <f>IF(AND(C71="No",H71&gt;'Analysis Summary'!$B$5),1,0)</f>
        <v>0</v>
      </c>
      <c r="M71" s="33" t="str">
        <f>IF(L71=1,SUM($L$2:L71),"")</f>
        <v/>
      </c>
      <c r="N71" s="33">
        <f>IF(C71="Yes",COUNTIF($C$2:C71,"Yes"),"")</f>
        <v>60</v>
      </c>
      <c r="P71" s="37">
        <v>70</v>
      </c>
      <c r="Q71" s="32">
        <f t="shared" si="12"/>
        <v>45828</v>
      </c>
      <c r="R71" s="34">
        <f t="shared" si="13"/>
        <v>1882</v>
      </c>
      <c r="S71" s="35">
        <f t="shared" si="14"/>
        <v>33.299999999999997</v>
      </c>
      <c r="T71" s="34">
        <f t="shared" si="15"/>
        <v>13734</v>
      </c>
    </row>
    <row r="72" spans="1:20" x14ac:dyDescent="0.25">
      <c r="A72" s="32">
        <f>'Daily Energy'!A72</f>
        <v>45818</v>
      </c>
      <c r="B72" s="33" t="str">
        <f>'Daily Energy'!B72</f>
        <v>Tuesday</v>
      </c>
      <c r="C72" s="33" t="str">
        <f>'Daily Energy'!C72</f>
        <v>Yes</v>
      </c>
      <c r="D72" s="34">
        <f>'Daily Energy'!D72</f>
        <v>1779</v>
      </c>
      <c r="E72" s="35">
        <f>'Daily Energy'!E72</f>
        <v>29.8</v>
      </c>
      <c r="F72" s="34">
        <f>'Daily Energy'!F72</f>
        <v>12538</v>
      </c>
      <c r="G72" s="34">
        <f>'Daily Energy'!G72</f>
        <v>591</v>
      </c>
      <c r="H72" s="34">
        <f t="shared" si="8"/>
        <v>13129</v>
      </c>
      <c r="I72" s="36">
        <f t="shared" si="9"/>
        <v>45809</v>
      </c>
      <c r="J72" s="34" t="str">
        <f t="shared" si="10"/>
        <v/>
      </c>
      <c r="K72" s="34">
        <f t="shared" si="11"/>
        <v>13129</v>
      </c>
      <c r="L72" s="33">
        <f>IF(AND(C72="No",H72&gt;'Analysis Summary'!$B$5),1,0)</f>
        <v>0</v>
      </c>
      <c r="M72" s="33" t="str">
        <f>IF(L72=1,SUM($L$2:L72),"")</f>
        <v/>
      </c>
      <c r="N72" s="33">
        <f>IF(C72="Yes",COUNTIF($C$2:C72,"Yes"),"")</f>
        <v>61</v>
      </c>
      <c r="P72" s="37">
        <v>71</v>
      </c>
      <c r="Q72" s="32">
        <f t="shared" si="12"/>
        <v>45829</v>
      </c>
      <c r="R72" s="34">
        <f t="shared" si="13"/>
        <v>1891</v>
      </c>
      <c r="S72" s="35">
        <f t="shared" si="14"/>
        <v>31.4</v>
      </c>
      <c r="T72" s="34">
        <f t="shared" si="15"/>
        <v>14112</v>
      </c>
    </row>
    <row r="73" spans="1:20" x14ac:dyDescent="0.25">
      <c r="A73" s="32">
        <f>'Daily Energy'!A73</f>
        <v>45819</v>
      </c>
      <c r="B73" s="33" t="str">
        <f>'Daily Energy'!B73</f>
        <v>Wednesday</v>
      </c>
      <c r="C73" s="33" t="str">
        <f>'Daily Energy'!C73</f>
        <v>Yes</v>
      </c>
      <c r="D73" s="34">
        <f>'Daily Energy'!D73</f>
        <v>1665</v>
      </c>
      <c r="E73" s="35">
        <f>'Daily Energy'!E73</f>
        <v>32.700000000000003</v>
      </c>
      <c r="F73" s="34">
        <f>'Daily Energy'!F73</f>
        <v>12590</v>
      </c>
      <c r="G73" s="34">
        <f>'Daily Energy'!G73</f>
        <v>612</v>
      </c>
      <c r="H73" s="34">
        <f t="shared" si="8"/>
        <v>13202</v>
      </c>
      <c r="I73" s="36">
        <f t="shared" si="9"/>
        <v>45809</v>
      </c>
      <c r="J73" s="34" t="str">
        <f t="shared" si="10"/>
        <v/>
      </c>
      <c r="K73" s="34">
        <f t="shared" si="11"/>
        <v>13202</v>
      </c>
      <c r="L73" s="33">
        <f>IF(AND(C73="No",H73&gt;'Analysis Summary'!$B$5),1,0)</f>
        <v>0</v>
      </c>
      <c r="M73" s="33" t="str">
        <f>IF(L73=1,SUM($L$2:L73),"")</f>
        <v/>
      </c>
      <c r="N73" s="33">
        <f>IF(C73="Yes",COUNTIF($C$2:C73,"Yes"),"")</f>
        <v>62</v>
      </c>
      <c r="P73" s="37">
        <v>72</v>
      </c>
      <c r="Q73" s="32">
        <f t="shared" si="12"/>
        <v>45831</v>
      </c>
      <c r="R73" s="34">
        <f t="shared" si="13"/>
        <v>1724</v>
      </c>
      <c r="S73" s="35">
        <f t="shared" si="14"/>
        <v>31.9</v>
      </c>
      <c r="T73" s="34">
        <f t="shared" si="15"/>
        <v>13557</v>
      </c>
    </row>
    <row r="74" spans="1:20" x14ac:dyDescent="0.25">
      <c r="A74" s="32">
        <f>'Daily Energy'!A74</f>
        <v>45820</v>
      </c>
      <c r="B74" s="33" t="str">
        <f>'Daily Energy'!B74</f>
        <v>Thursday</v>
      </c>
      <c r="C74" s="33" t="str">
        <f>'Daily Energy'!C74</f>
        <v>Yes</v>
      </c>
      <c r="D74" s="34">
        <f>'Daily Energy'!D74</f>
        <v>1991</v>
      </c>
      <c r="E74" s="35">
        <f>'Daily Energy'!E74</f>
        <v>32.1</v>
      </c>
      <c r="F74" s="34">
        <f>'Daily Energy'!F74</f>
        <v>14178</v>
      </c>
      <c r="G74" s="34">
        <f>'Daily Energy'!G74</f>
        <v>701</v>
      </c>
      <c r="H74" s="34">
        <f t="shared" si="8"/>
        <v>14879</v>
      </c>
      <c r="I74" s="36">
        <f t="shared" si="9"/>
        <v>45809</v>
      </c>
      <c r="J74" s="34" t="str">
        <f t="shared" si="10"/>
        <v/>
      </c>
      <c r="K74" s="34">
        <f t="shared" si="11"/>
        <v>14879</v>
      </c>
      <c r="L74" s="33">
        <f>IF(AND(C74="No",H74&gt;'Analysis Summary'!$B$5),1,0)</f>
        <v>0</v>
      </c>
      <c r="M74" s="33" t="str">
        <f>IF(L74=1,SUM($L$2:L74),"")</f>
        <v/>
      </c>
      <c r="N74" s="33">
        <f>IF(C74="Yes",COUNTIF($C$2:C74,"Yes"),"")</f>
        <v>63</v>
      </c>
      <c r="P74" s="37">
        <v>73</v>
      </c>
      <c r="Q74" s="32">
        <f t="shared" si="12"/>
        <v>45832</v>
      </c>
      <c r="R74" s="34">
        <f t="shared" si="13"/>
        <v>1900</v>
      </c>
      <c r="S74" s="35">
        <f t="shared" si="14"/>
        <v>31.2</v>
      </c>
      <c r="T74" s="34">
        <f t="shared" si="15"/>
        <v>14737</v>
      </c>
    </row>
    <row r="75" spans="1:20" x14ac:dyDescent="0.25">
      <c r="A75" s="32">
        <f>'Daily Energy'!A75</f>
        <v>45821</v>
      </c>
      <c r="B75" s="33" t="str">
        <f>'Daily Energy'!B75</f>
        <v>Friday</v>
      </c>
      <c r="C75" s="33" t="str">
        <f>'Daily Energy'!C75</f>
        <v>Yes</v>
      </c>
      <c r="D75" s="34">
        <f>'Daily Energy'!D75</f>
        <v>1613</v>
      </c>
      <c r="E75" s="35">
        <f>'Daily Energy'!E75</f>
        <v>30.7</v>
      </c>
      <c r="F75" s="34">
        <f>'Daily Energy'!F75</f>
        <v>11836</v>
      </c>
      <c r="G75" s="34">
        <f>'Daily Energy'!G75</f>
        <v>995</v>
      </c>
      <c r="H75" s="34">
        <f t="shared" si="8"/>
        <v>12831</v>
      </c>
      <c r="I75" s="36">
        <f t="shared" si="9"/>
        <v>45809</v>
      </c>
      <c r="J75" s="34" t="str">
        <f t="shared" si="10"/>
        <v/>
      </c>
      <c r="K75" s="34">
        <f t="shared" si="11"/>
        <v>12831</v>
      </c>
      <c r="L75" s="33">
        <f>IF(AND(C75="No",H75&gt;'Analysis Summary'!$B$5),1,0)</f>
        <v>0</v>
      </c>
      <c r="M75" s="33" t="str">
        <f>IF(L75=1,SUM($L$2:L75),"")</f>
        <v/>
      </c>
      <c r="N75" s="33">
        <f>IF(C75="Yes",COUNTIF($C$2:C75,"Yes"),"")</f>
        <v>64</v>
      </c>
      <c r="P75" s="37">
        <v>74</v>
      </c>
      <c r="Q75" s="32">
        <f t="shared" si="12"/>
        <v>45833</v>
      </c>
      <c r="R75" s="34">
        <f t="shared" si="13"/>
        <v>1837</v>
      </c>
      <c r="S75" s="35">
        <f t="shared" si="14"/>
        <v>31.6</v>
      </c>
      <c r="T75" s="34">
        <f t="shared" si="15"/>
        <v>13717</v>
      </c>
    </row>
    <row r="76" spans="1:20" x14ac:dyDescent="0.25">
      <c r="A76" s="32">
        <f>'Daily Energy'!A76</f>
        <v>45822</v>
      </c>
      <c r="B76" s="33" t="str">
        <f>'Daily Energy'!B76</f>
        <v>Saturday</v>
      </c>
      <c r="C76" s="33" t="str">
        <f>'Daily Energy'!C76</f>
        <v>Yes</v>
      </c>
      <c r="D76" s="34">
        <f>'Daily Energy'!D76</f>
        <v>1674</v>
      </c>
      <c r="E76" s="35">
        <f>'Daily Energy'!E76</f>
        <v>31.5</v>
      </c>
      <c r="F76" s="34">
        <f>'Daily Energy'!F76</f>
        <v>12427</v>
      </c>
      <c r="G76" s="34">
        <f>'Daily Energy'!G76</f>
        <v>869</v>
      </c>
      <c r="H76" s="34">
        <f t="shared" si="8"/>
        <v>13296</v>
      </c>
      <c r="I76" s="36">
        <f t="shared" si="9"/>
        <v>45809</v>
      </c>
      <c r="J76" s="34" t="str">
        <f t="shared" si="10"/>
        <v/>
      </c>
      <c r="K76" s="34">
        <f t="shared" si="11"/>
        <v>13296</v>
      </c>
      <c r="L76" s="33">
        <f>IF(AND(C76="No",H76&gt;'Analysis Summary'!$B$5),1,0)</f>
        <v>0</v>
      </c>
      <c r="M76" s="33" t="str">
        <f>IF(L76=1,SUM($L$2:L76),"")</f>
        <v/>
      </c>
      <c r="N76" s="33">
        <f>IF(C76="Yes",COUNTIF($C$2:C76,"Yes"),"")</f>
        <v>65</v>
      </c>
      <c r="P76" s="37">
        <v>75</v>
      </c>
      <c r="Q76" s="32">
        <f t="shared" si="12"/>
        <v>45834</v>
      </c>
      <c r="R76" s="34">
        <f t="shared" si="13"/>
        <v>1786</v>
      </c>
      <c r="S76" s="35">
        <f t="shared" si="14"/>
        <v>36.799999999999997</v>
      </c>
      <c r="T76" s="34">
        <f t="shared" si="15"/>
        <v>14155</v>
      </c>
    </row>
    <row r="77" spans="1:20" x14ac:dyDescent="0.25">
      <c r="A77" s="32">
        <f>'Daily Energy'!A77</f>
        <v>45823</v>
      </c>
      <c r="B77" s="33" t="str">
        <f>'Daily Energy'!B77</f>
        <v>Sunday</v>
      </c>
      <c r="C77" s="33" t="str">
        <f>'Daily Energy'!C77</f>
        <v>No</v>
      </c>
      <c r="D77" s="34">
        <f>'Daily Energy'!D77</f>
        <v>0</v>
      </c>
      <c r="E77" s="35">
        <f>'Daily Energy'!E77</f>
        <v>32.299999999999997</v>
      </c>
      <c r="F77" s="34">
        <f>'Daily Energy'!F77</f>
        <v>3423</v>
      </c>
      <c r="G77" s="34">
        <f>'Daily Energy'!G77</f>
        <v>696</v>
      </c>
      <c r="H77" s="34">
        <f t="shared" si="8"/>
        <v>4119</v>
      </c>
      <c r="I77" s="36">
        <f t="shared" si="9"/>
        <v>45809</v>
      </c>
      <c r="J77" s="34">
        <f t="shared" si="10"/>
        <v>4119</v>
      </c>
      <c r="K77" s="34" t="str">
        <f t="shared" si="11"/>
        <v/>
      </c>
      <c r="L77" s="33">
        <f>IF(AND(C77="No",H77&gt;'Analysis Summary'!$B$5),1,0)</f>
        <v>0</v>
      </c>
      <c r="M77" s="33" t="str">
        <f>IF(L77=1,SUM($L$2:L77),"")</f>
        <v/>
      </c>
      <c r="N77" s="33" t="str">
        <f>IF(C77="Yes",COUNTIF($C$2:C77,"Yes"),"")</f>
        <v/>
      </c>
      <c r="P77" s="37">
        <v>76</v>
      </c>
      <c r="Q77" s="32">
        <f t="shared" si="12"/>
        <v>45835</v>
      </c>
      <c r="R77" s="34">
        <f t="shared" si="13"/>
        <v>1817</v>
      </c>
      <c r="S77" s="35">
        <f t="shared" si="14"/>
        <v>32.299999999999997</v>
      </c>
      <c r="T77" s="34">
        <f t="shared" si="15"/>
        <v>14306</v>
      </c>
    </row>
    <row r="78" spans="1:20" x14ac:dyDescent="0.25">
      <c r="A78" s="32">
        <f>'Daily Energy'!A78</f>
        <v>45824</v>
      </c>
      <c r="B78" s="33" t="str">
        <f>'Daily Energy'!B78</f>
        <v>Monday</v>
      </c>
      <c r="C78" s="33" t="str">
        <f>'Daily Energy'!C78</f>
        <v>Yes</v>
      </c>
      <c r="D78" s="34">
        <f>'Daily Energy'!D78</f>
        <v>1812</v>
      </c>
      <c r="E78" s="35">
        <f>'Daily Energy'!E78</f>
        <v>32.200000000000003</v>
      </c>
      <c r="F78" s="34">
        <f>'Daily Energy'!F78</f>
        <v>13174</v>
      </c>
      <c r="G78" s="34">
        <f>'Daily Energy'!G78</f>
        <v>781</v>
      </c>
      <c r="H78" s="34">
        <f t="shared" si="8"/>
        <v>13955</v>
      </c>
      <c r="I78" s="36">
        <f t="shared" si="9"/>
        <v>45809</v>
      </c>
      <c r="J78" s="34" t="str">
        <f t="shared" si="10"/>
        <v/>
      </c>
      <c r="K78" s="34">
        <f t="shared" si="11"/>
        <v>13955</v>
      </c>
      <c r="L78" s="33">
        <f>IF(AND(C78="No",H78&gt;'Analysis Summary'!$B$5),1,0)</f>
        <v>0</v>
      </c>
      <c r="M78" s="33" t="str">
        <f>IF(L78=1,SUM($L$2:L78),"")</f>
        <v/>
      </c>
      <c r="N78" s="33">
        <f>IF(C78="Yes",COUNTIF($C$2:C78,"Yes"),"")</f>
        <v>66</v>
      </c>
      <c r="P78" s="37">
        <v>77</v>
      </c>
      <c r="Q78" s="32">
        <f t="shared" si="12"/>
        <v>45836</v>
      </c>
      <c r="R78" s="34">
        <f t="shared" si="13"/>
        <v>2064</v>
      </c>
      <c r="S78" s="35">
        <f t="shared" si="14"/>
        <v>30.1</v>
      </c>
      <c r="T78" s="34">
        <f t="shared" si="15"/>
        <v>14083</v>
      </c>
    </row>
    <row r="79" spans="1:20" x14ac:dyDescent="0.25">
      <c r="A79" s="32">
        <f>'Daily Energy'!A79</f>
        <v>45825</v>
      </c>
      <c r="B79" s="33" t="str">
        <f>'Daily Energy'!B79</f>
        <v>Tuesday</v>
      </c>
      <c r="C79" s="33" t="str">
        <f>'Daily Energy'!C79</f>
        <v>Yes</v>
      </c>
      <c r="D79" s="34">
        <f>'Daily Energy'!D79</f>
        <v>1645</v>
      </c>
      <c r="E79" s="35">
        <f>'Daily Energy'!E79</f>
        <v>33</v>
      </c>
      <c r="F79" s="34">
        <f>'Daily Energy'!F79</f>
        <v>12653</v>
      </c>
      <c r="G79" s="34">
        <f>'Daily Energy'!G79</f>
        <v>698</v>
      </c>
      <c r="H79" s="34">
        <f t="shared" si="8"/>
        <v>13351</v>
      </c>
      <c r="I79" s="36">
        <f t="shared" si="9"/>
        <v>45809</v>
      </c>
      <c r="J79" s="34" t="str">
        <f t="shared" si="10"/>
        <v/>
      </c>
      <c r="K79" s="34">
        <f t="shared" si="11"/>
        <v>13351</v>
      </c>
      <c r="L79" s="33">
        <f>IF(AND(C79="No",H79&gt;'Analysis Summary'!$B$5),1,0)</f>
        <v>0</v>
      </c>
      <c r="M79" s="33" t="str">
        <f>IF(L79=1,SUM($L$2:L79),"")</f>
        <v/>
      </c>
      <c r="N79" s="33">
        <f>IF(C79="Yes",COUNTIF($C$2:C79,"Yes"),"")</f>
        <v>67</v>
      </c>
      <c r="P79" s="37">
        <v>78</v>
      </c>
      <c r="Q79" s="32">
        <f t="shared" si="12"/>
        <v>45838</v>
      </c>
      <c r="R79" s="34">
        <f t="shared" si="13"/>
        <v>1844</v>
      </c>
      <c r="S79" s="35">
        <f t="shared" si="14"/>
        <v>33</v>
      </c>
      <c r="T79" s="34">
        <f t="shared" si="15"/>
        <v>13509</v>
      </c>
    </row>
    <row r="80" spans="1:20" x14ac:dyDescent="0.25">
      <c r="A80" s="32">
        <f>'Daily Energy'!A80</f>
        <v>45826</v>
      </c>
      <c r="B80" s="33" t="str">
        <f>'Daily Energy'!B80</f>
        <v>Wednesday</v>
      </c>
      <c r="C80" s="33" t="str">
        <f>'Daily Energy'!C80</f>
        <v>Yes</v>
      </c>
      <c r="D80" s="34">
        <f>'Daily Energy'!D80</f>
        <v>1830</v>
      </c>
      <c r="E80" s="35">
        <f>'Daily Energy'!E80</f>
        <v>33</v>
      </c>
      <c r="F80" s="34">
        <f>'Daily Energy'!F80</f>
        <v>13625</v>
      </c>
      <c r="G80" s="34">
        <f>'Daily Energy'!G80</f>
        <v>896</v>
      </c>
      <c r="H80" s="34">
        <f t="shared" si="8"/>
        <v>14521</v>
      </c>
      <c r="I80" s="36">
        <f t="shared" si="9"/>
        <v>45809</v>
      </c>
      <c r="J80" s="34" t="str">
        <f t="shared" si="10"/>
        <v/>
      </c>
      <c r="K80" s="34">
        <f t="shared" si="11"/>
        <v>14521</v>
      </c>
      <c r="L80" s="33">
        <f>IF(AND(C80="No",H80&gt;'Analysis Summary'!$B$5),1,0)</f>
        <v>0</v>
      </c>
      <c r="M80" s="33" t="str">
        <f>IF(L80=1,SUM($L$2:L80),"")</f>
        <v/>
      </c>
      <c r="N80" s="33">
        <f>IF(C80="Yes",COUNTIF($C$2:C80,"Yes"),"")</f>
        <v>68</v>
      </c>
      <c r="P80" s="37">
        <v>79</v>
      </c>
      <c r="Q80" s="32">
        <f t="shared" si="12"/>
        <v>45839</v>
      </c>
      <c r="R80" s="34">
        <f t="shared" si="13"/>
        <v>1642</v>
      </c>
      <c r="S80" s="35">
        <f t="shared" si="14"/>
        <v>31.4</v>
      </c>
      <c r="T80" s="34">
        <f t="shared" si="15"/>
        <v>13293</v>
      </c>
    </row>
    <row r="81" spans="1:20" x14ac:dyDescent="0.25">
      <c r="A81" s="32">
        <f>'Daily Energy'!A81</f>
        <v>45827</v>
      </c>
      <c r="B81" s="33" t="str">
        <f>'Daily Energy'!B81</f>
        <v>Thursday</v>
      </c>
      <c r="C81" s="33" t="str">
        <f>'Daily Energy'!C81</f>
        <v>Yes</v>
      </c>
      <c r="D81" s="34">
        <f>'Daily Energy'!D81</f>
        <v>1731</v>
      </c>
      <c r="E81" s="35">
        <f>'Daily Energy'!E81</f>
        <v>32.299999999999997</v>
      </c>
      <c r="F81" s="34">
        <f>'Daily Energy'!F81</f>
        <v>13113</v>
      </c>
      <c r="G81" s="34">
        <f>'Daily Energy'!G81</f>
        <v>800</v>
      </c>
      <c r="H81" s="34">
        <f t="shared" si="8"/>
        <v>13913</v>
      </c>
      <c r="I81" s="36">
        <f t="shared" si="9"/>
        <v>45809</v>
      </c>
      <c r="J81" s="34" t="str">
        <f t="shared" si="10"/>
        <v/>
      </c>
      <c r="K81" s="34">
        <f t="shared" si="11"/>
        <v>13913</v>
      </c>
      <c r="L81" s="33">
        <f>IF(AND(C81="No",H81&gt;'Analysis Summary'!$B$5),1,0)</f>
        <v>0</v>
      </c>
      <c r="M81" s="33" t="str">
        <f>IF(L81=1,SUM($L$2:L81),"")</f>
        <v/>
      </c>
      <c r="N81" s="33">
        <f>IF(C81="Yes",COUNTIF($C$2:C81,"Yes"),"")</f>
        <v>69</v>
      </c>
      <c r="P81" s="37">
        <v>80</v>
      </c>
      <c r="Q81" s="32">
        <f t="shared" si="12"/>
        <v>45840</v>
      </c>
      <c r="R81" s="34">
        <f t="shared" si="13"/>
        <v>1844</v>
      </c>
      <c r="S81" s="35">
        <f t="shared" si="14"/>
        <v>32</v>
      </c>
      <c r="T81" s="34">
        <f t="shared" si="15"/>
        <v>14184</v>
      </c>
    </row>
    <row r="82" spans="1:20" x14ac:dyDescent="0.25">
      <c r="A82" s="32">
        <f>'Daily Energy'!A82</f>
        <v>45828</v>
      </c>
      <c r="B82" s="33" t="str">
        <f>'Daily Energy'!B82</f>
        <v>Friday</v>
      </c>
      <c r="C82" s="33" t="str">
        <f>'Daily Energy'!C82</f>
        <v>Yes</v>
      </c>
      <c r="D82" s="34">
        <f>'Daily Energy'!D82</f>
        <v>1882</v>
      </c>
      <c r="E82" s="35">
        <f>'Daily Energy'!E82</f>
        <v>33.299999999999997</v>
      </c>
      <c r="F82" s="34">
        <f>'Daily Energy'!F82</f>
        <v>13219</v>
      </c>
      <c r="G82" s="34">
        <f>'Daily Energy'!G82</f>
        <v>515</v>
      </c>
      <c r="H82" s="34">
        <f t="shared" si="8"/>
        <v>13734</v>
      </c>
      <c r="I82" s="36">
        <f t="shared" si="9"/>
        <v>45809</v>
      </c>
      <c r="J82" s="34" t="str">
        <f t="shared" si="10"/>
        <v/>
      </c>
      <c r="K82" s="34">
        <f t="shared" si="11"/>
        <v>13734</v>
      </c>
      <c r="L82" s="33">
        <f>IF(AND(C82="No",H82&gt;'Analysis Summary'!$B$5),1,0)</f>
        <v>0</v>
      </c>
      <c r="M82" s="33" t="str">
        <f>IF(L82=1,SUM($L$2:L82),"")</f>
        <v/>
      </c>
      <c r="N82" s="33">
        <f>IF(C82="Yes",COUNTIF($C$2:C82,"Yes"),"")</f>
        <v>70</v>
      </c>
      <c r="P82" s="37">
        <v>81</v>
      </c>
      <c r="Q82" s="32">
        <f t="shared" si="12"/>
        <v>45841</v>
      </c>
      <c r="R82" s="34">
        <f t="shared" si="13"/>
        <v>1833</v>
      </c>
      <c r="S82" s="35">
        <f t="shared" si="14"/>
        <v>35.4</v>
      </c>
      <c r="T82" s="34">
        <f t="shared" si="15"/>
        <v>14877</v>
      </c>
    </row>
    <row r="83" spans="1:20" x14ac:dyDescent="0.25">
      <c r="A83" s="32">
        <f>'Daily Energy'!A83</f>
        <v>45829</v>
      </c>
      <c r="B83" s="33" t="str">
        <f>'Daily Energy'!B83</f>
        <v>Saturday</v>
      </c>
      <c r="C83" s="33" t="str">
        <f>'Daily Energy'!C83</f>
        <v>Yes</v>
      </c>
      <c r="D83" s="34">
        <f>'Daily Energy'!D83</f>
        <v>1891</v>
      </c>
      <c r="E83" s="35">
        <f>'Daily Energy'!E83</f>
        <v>31.4</v>
      </c>
      <c r="F83" s="34">
        <f>'Daily Energy'!F83</f>
        <v>13459</v>
      </c>
      <c r="G83" s="34">
        <f>'Daily Energy'!G83</f>
        <v>653</v>
      </c>
      <c r="H83" s="34">
        <f t="shared" si="8"/>
        <v>14112</v>
      </c>
      <c r="I83" s="36">
        <f t="shared" si="9"/>
        <v>45809</v>
      </c>
      <c r="J83" s="34" t="str">
        <f t="shared" si="10"/>
        <v/>
      </c>
      <c r="K83" s="34">
        <f t="shared" si="11"/>
        <v>14112</v>
      </c>
      <c r="L83" s="33">
        <f>IF(AND(C83="No",H83&gt;'Analysis Summary'!$B$5),1,0)</f>
        <v>0</v>
      </c>
      <c r="M83" s="33" t="str">
        <f>IF(L83=1,SUM($L$2:L83),"")</f>
        <v/>
      </c>
      <c r="N83" s="33">
        <f>IF(C83="Yes",COUNTIF($C$2:C83,"Yes"),"")</f>
        <v>71</v>
      </c>
      <c r="P83" s="37">
        <v>82</v>
      </c>
      <c r="Q83" s="32">
        <f t="shared" si="12"/>
        <v>45842</v>
      </c>
      <c r="R83" s="34">
        <f t="shared" si="13"/>
        <v>1808</v>
      </c>
      <c r="S83" s="35">
        <f t="shared" si="14"/>
        <v>33.700000000000003</v>
      </c>
      <c r="T83" s="34">
        <f t="shared" si="15"/>
        <v>13559</v>
      </c>
    </row>
    <row r="84" spans="1:20" x14ac:dyDescent="0.25">
      <c r="A84" s="32">
        <f>'Daily Energy'!A84</f>
        <v>45830</v>
      </c>
      <c r="B84" s="33" t="str">
        <f>'Daily Energy'!B84</f>
        <v>Sunday</v>
      </c>
      <c r="C84" s="33" t="str">
        <f>'Daily Energy'!C84</f>
        <v>No</v>
      </c>
      <c r="D84" s="34">
        <f>'Daily Energy'!D84</f>
        <v>0</v>
      </c>
      <c r="E84" s="35">
        <f>'Daily Energy'!E84</f>
        <v>34.299999999999997</v>
      </c>
      <c r="F84" s="34">
        <f>'Daily Energy'!F84</f>
        <v>4036</v>
      </c>
      <c r="G84" s="34">
        <f>'Daily Energy'!G84</f>
        <v>1143</v>
      </c>
      <c r="H84" s="34">
        <f t="shared" si="8"/>
        <v>5179</v>
      </c>
      <c r="I84" s="36">
        <f t="shared" si="9"/>
        <v>45809</v>
      </c>
      <c r="J84" s="34">
        <f t="shared" si="10"/>
        <v>5179</v>
      </c>
      <c r="K84" s="34" t="str">
        <f t="shared" si="11"/>
        <v/>
      </c>
      <c r="L84" s="33">
        <f>IF(AND(C84="No",H84&gt;'Analysis Summary'!$B$5),1,0)</f>
        <v>1</v>
      </c>
      <c r="M84" s="33">
        <f>IF(L84=1,SUM($L$2:L84),"")</f>
        <v>3</v>
      </c>
      <c r="N84" s="33" t="str">
        <f>IF(C84="Yes",COUNTIF($C$2:C84,"Yes"),"")</f>
        <v/>
      </c>
      <c r="P84" s="37">
        <v>83</v>
      </c>
      <c r="Q84" s="32">
        <f t="shared" si="12"/>
        <v>45843</v>
      </c>
      <c r="R84" s="34">
        <f t="shared" si="13"/>
        <v>1583</v>
      </c>
      <c r="S84" s="35">
        <f t="shared" si="14"/>
        <v>32.299999999999997</v>
      </c>
      <c r="T84" s="34">
        <f t="shared" si="15"/>
        <v>12518</v>
      </c>
    </row>
    <row r="85" spans="1:20" x14ac:dyDescent="0.25">
      <c r="A85" s="32">
        <f>'Daily Energy'!A85</f>
        <v>45831</v>
      </c>
      <c r="B85" s="33" t="str">
        <f>'Daily Energy'!B85</f>
        <v>Monday</v>
      </c>
      <c r="C85" s="33" t="str">
        <f>'Daily Energy'!C85</f>
        <v>Yes</v>
      </c>
      <c r="D85" s="34">
        <f>'Daily Energy'!D85</f>
        <v>1724</v>
      </c>
      <c r="E85" s="35">
        <f>'Daily Energy'!E85</f>
        <v>31.9</v>
      </c>
      <c r="F85" s="34">
        <f>'Daily Energy'!F85</f>
        <v>13001</v>
      </c>
      <c r="G85" s="34">
        <f>'Daily Energy'!G85</f>
        <v>556</v>
      </c>
      <c r="H85" s="34">
        <f t="shared" si="8"/>
        <v>13557</v>
      </c>
      <c r="I85" s="36">
        <f t="shared" si="9"/>
        <v>45809</v>
      </c>
      <c r="J85" s="34" t="str">
        <f t="shared" si="10"/>
        <v/>
      </c>
      <c r="K85" s="34">
        <f t="shared" si="11"/>
        <v>13557</v>
      </c>
      <c r="L85" s="33">
        <f>IF(AND(C85="No",H85&gt;'Analysis Summary'!$B$5),1,0)</f>
        <v>0</v>
      </c>
      <c r="M85" s="33" t="str">
        <f>IF(L85=1,SUM($L$2:L85),"")</f>
        <v/>
      </c>
      <c r="N85" s="33">
        <f>IF(C85="Yes",COUNTIF($C$2:C85,"Yes"),"")</f>
        <v>72</v>
      </c>
      <c r="P85" s="37">
        <v>84</v>
      </c>
      <c r="Q85" s="32">
        <f t="shared" si="12"/>
        <v>45845</v>
      </c>
      <c r="R85" s="34">
        <f t="shared" si="13"/>
        <v>1773</v>
      </c>
      <c r="S85" s="35">
        <f t="shared" si="14"/>
        <v>37</v>
      </c>
      <c r="T85" s="34">
        <f t="shared" si="15"/>
        <v>14839</v>
      </c>
    </row>
    <row r="86" spans="1:20" x14ac:dyDescent="0.25">
      <c r="A86" s="32">
        <f>'Daily Energy'!A86</f>
        <v>45832</v>
      </c>
      <c r="B86" s="33" t="str">
        <f>'Daily Energy'!B86</f>
        <v>Tuesday</v>
      </c>
      <c r="C86" s="33" t="str">
        <f>'Daily Energy'!C86</f>
        <v>Yes</v>
      </c>
      <c r="D86" s="34">
        <f>'Daily Energy'!D86</f>
        <v>1900</v>
      </c>
      <c r="E86" s="35">
        <f>'Daily Energy'!E86</f>
        <v>31.2</v>
      </c>
      <c r="F86" s="34">
        <f>'Daily Energy'!F86</f>
        <v>13875</v>
      </c>
      <c r="G86" s="34">
        <f>'Daily Energy'!G86</f>
        <v>862</v>
      </c>
      <c r="H86" s="34">
        <f t="shared" si="8"/>
        <v>14737</v>
      </c>
      <c r="I86" s="36">
        <f t="shared" si="9"/>
        <v>45809</v>
      </c>
      <c r="J86" s="34" t="str">
        <f t="shared" si="10"/>
        <v/>
      </c>
      <c r="K86" s="34">
        <f t="shared" si="11"/>
        <v>14737</v>
      </c>
      <c r="L86" s="33">
        <f>IF(AND(C86="No",H86&gt;'Analysis Summary'!$B$5),1,0)</f>
        <v>0</v>
      </c>
      <c r="M86" s="33" t="str">
        <f>IF(L86=1,SUM($L$2:L86),"")</f>
        <v/>
      </c>
      <c r="N86" s="33">
        <f>IF(C86="Yes",COUNTIF($C$2:C86,"Yes"),"")</f>
        <v>73</v>
      </c>
      <c r="P86" s="37">
        <v>85</v>
      </c>
      <c r="Q86" s="32">
        <f t="shared" si="12"/>
        <v>45846</v>
      </c>
      <c r="R86" s="34">
        <f t="shared" si="13"/>
        <v>1846</v>
      </c>
      <c r="S86" s="35">
        <f t="shared" si="14"/>
        <v>31.9</v>
      </c>
      <c r="T86" s="34">
        <f t="shared" si="15"/>
        <v>13183</v>
      </c>
    </row>
    <row r="87" spans="1:20" x14ac:dyDescent="0.25">
      <c r="A87" s="32">
        <f>'Daily Energy'!A87</f>
        <v>45833</v>
      </c>
      <c r="B87" s="33" t="str">
        <f>'Daily Energy'!B87</f>
        <v>Wednesday</v>
      </c>
      <c r="C87" s="33" t="str">
        <f>'Daily Energy'!C87</f>
        <v>Yes</v>
      </c>
      <c r="D87" s="34">
        <f>'Daily Energy'!D87</f>
        <v>1837</v>
      </c>
      <c r="E87" s="35">
        <f>'Daily Energy'!E87</f>
        <v>31.6</v>
      </c>
      <c r="F87" s="34">
        <f>'Daily Energy'!F87</f>
        <v>12864</v>
      </c>
      <c r="G87" s="34">
        <f>'Daily Energy'!G87</f>
        <v>853</v>
      </c>
      <c r="H87" s="34">
        <f t="shared" si="8"/>
        <v>13717</v>
      </c>
      <c r="I87" s="36">
        <f t="shared" si="9"/>
        <v>45809</v>
      </c>
      <c r="J87" s="34" t="str">
        <f t="shared" si="10"/>
        <v/>
      </c>
      <c r="K87" s="34">
        <f t="shared" si="11"/>
        <v>13717</v>
      </c>
      <c r="L87" s="33">
        <f>IF(AND(C87="No",H87&gt;'Analysis Summary'!$B$5),1,0)</f>
        <v>0</v>
      </c>
      <c r="M87" s="33" t="str">
        <f>IF(L87=1,SUM($L$2:L87),"")</f>
        <v/>
      </c>
      <c r="N87" s="33">
        <f>IF(C87="Yes",COUNTIF($C$2:C87,"Yes"),"")</f>
        <v>74</v>
      </c>
      <c r="P87" s="37">
        <v>86</v>
      </c>
      <c r="Q87" s="32">
        <f t="shared" si="12"/>
        <v>45847</v>
      </c>
      <c r="R87" s="34">
        <f t="shared" si="13"/>
        <v>1626</v>
      </c>
      <c r="S87" s="35">
        <f t="shared" si="14"/>
        <v>32.299999999999997</v>
      </c>
      <c r="T87" s="34">
        <f t="shared" si="15"/>
        <v>12488</v>
      </c>
    </row>
    <row r="88" spans="1:20" x14ac:dyDescent="0.25">
      <c r="A88" s="32">
        <f>'Daily Energy'!A88</f>
        <v>45834</v>
      </c>
      <c r="B88" s="33" t="str">
        <f>'Daily Energy'!B88</f>
        <v>Thursday</v>
      </c>
      <c r="C88" s="33" t="str">
        <f>'Daily Energy'!C88</f>
        <v>Yes</v>
      </c>
      <c r="D88" s="34">
        <f>'Daily Energy'!D88</f>
        <v>1786</v>
      </c>
      <c r="E88" s="35">
        <f>'Daily Energy'!E88</f>
        <v>36.799999999999997</v>
      </c>
      <c r="F88" s="34">
        <f>'Daily Energy'!F88</f>
        <v>13514</v>
      </c>
      <c r="G88" s="34">
        <f>'Daily Energy'!G88</f>
        <v>641</v>
      </c>
      <c r="H88" s="34">
        <f t="shared" si="8"/>
        <v>14155</v>
      </c>
      <c r="I88" s="36">
        <f t="shared" si="9"/>
        <v>45809</v>
      </c>
      <c r="J88" s="34" t="str">
        <f t="shared" si="10"/>
        <v/>
      </c>
      <c r="K88" s="34">
        <f t="shared" si="11"/>
        <v>14155</v>
      </c>
      <c r="L88" s="33">
        <f>IF(AND(C88="No",H88&gt;'Analysis Summary'!$B$5),1,0)</f>
        <v>0</v>
      </c>
      <c r="M88" s="33" t="str">
        <f>IF(L88=1,SUM($L$2:L88),"")</f>
        <v/>
      </c>
      <c r="N88" s="33">
        <f>IF(C88="Yes",COUNTIF($C$2:C88,"Yes"),"")</f>
        <v>75</v>
      </c>
      <c r="P88" s="37">
        <v>87</v>
      </c>
      <c r="Q88" s="32">
        <f t="shared" si="12"/>
        <v>45848</v>
      </c>
      <c r="R88" s="34">
        <f t="shared" si="13"/>
        <v>1863</v>
      </c>
      <c r="S88" s="35">
        <f t="shared" si="14"/>
        <v>30.8</v>
      </c>
      <c r="T88" s="34">
        <f t="shared" si="15"/>
        <v>13386</v>
      </c>
    </row>
    <row r="89" spans="1:20" x14ac:dyDescent="0.25">
      <c r="A89" s="32">
        <f>'Daily Energy'!A89</f>
        <v>45835</v>
      </c>
      <c r="B89" s="33" t="str">
        <f>'Daily Energy'!B89</f>
        <v>Friday</v>
      </c>
      <c r="C89" s="33" t="str">
        <f>'Daily Energy'!C89</f>
        <v>Yes</v>
      </c>
      <c r="D89" s="34">
        <f>'Daily Energy'!D89</f>
        <v>1817</v>
      </c>
      <c r="E89" s="35">
        <f>'Daily Energy'!E89</f>
        <v>32.299999999999997</v>
      </c>
      <c r="F89" s="34">
        <f>'Daily Energy'!F89</f>
        <v>13659</v>
      </c>
      <c r="G89" s="34">
        <f>'Daily Energy'!G89</f>
        <v>647</v>
      </c>
      <c r="H89" s="34">
        <f t="shared" si="8"/>
        <v>14306</v>
      </c>
      <c r="I89" s="36">
        <f t="shared" si="9"/>
        <v>45809</v>
      </c>
      <c r="J89" s="34" t="str">
        <f t="shared" si="10"/>
        <v/>
      </c>
      <c r="K89" s="34">
        <f t="shared" si="11"/>
        <v>14306</v>
      </c>
      <c r="L89" s="33">
        <f>IF(AND(C89="No",H89&gt;'Analysis Summary'!$B$5),1,0)</f>
        <v>0</v>
      </c>
      <c r="M89" s="33" t="str">
        <f>IF(L89=1,SUM($L$2:L89),"")</f>
        <v/>
      </c>
      <c r="N89" s="33">
        <f>IF(C89="Yes",COUNTIF($C$2:C89,"Yes"),"")</f>
        <v>76</v>
      </c>
      <c r="P89" s="37">
        <v>88</v>
      </c>
      <c r="Q89" s="32">
        <f t="shared" si="12"/>
        <v>45849</v>
      </c>
      <c r="R89" s="34">
        <f t="shared" si="13"/>
        <v>1829</v>
      </c>
      <c r="S89" s="35">
        <f t="shared" si="14"/>
        <v>33</v>
      </c>
      <c r="T89" s="34">
        <f t="shared" si="15"/>
        <v>13488</v>
      </c>
    </row>
    <row r="90" spans="1:20" x14ac:dyDescent="0.25">
      <c r="A90" s="32">
        <f>'Daily Energy'!A90</f>
        <v>45836</v>
      </c>
      <c r="B90" s="33" t="str">
        <f>'Daily Energy'!B90</f>
        <v>Saturday</v>
      </c>
      <c r="C90" s="33" t="str">
        <f>'Daily Energy'!C90</f>
        <v>Yes</v>
      </c>
      <c r="D90" s="34">
        <f>'Daily Energy'!D90</f>
        <v>2064</v>
      </c>
      <c r="E90" s="35">
        <f>'Daily Energy'!E90</f>
        <v>30.1</v>
      </c>
      <c r="F90" s="34">
        <f>'Daily Energy'!F90</f>
        <v>13493</v>
      </c>
      <c r="G90" s="34">
        <f>'Daily Energy'!G90</f>
        <v>590</v>
      </c>
      <c r="H90" s="34">
        <f t="shared" si="8"/>
        <v>14083</v>
      </c>
      <c r="I90" s="36">
        <f t="shared" si="9"/>
        <v>45809</v>
      </c>
      <c r="J90" s="34" t="str">
        <f t="shared" si="10"/>
        <v/>
      </c>
      <c r="K90" s="34">
        <f t="shared" si="11"/>
        <v>14083</v>
      </c>
      <c r="L90" s="33">
        <f>IF(AND(C90="No",H90&gt;'Analysis Summary'!$B$5),1,0)</f>
        <v>0</v>
      </c>
      <c r="M90" s="33" t="str">
        <f>IF(L90=1,SUM($L$2:L90),"")</f>
        <v/>
      </c>
      <c r="N90" s="33">
        <f>IF(C90="Yes",COUNTIF($C$2:C90,"Yes"),"")</f>
        <v>77</v>
      </c>
      <c r="P90" s="37">
        <v>89</v>
      </c>
      <c r="Q90" s="32">
        <f t="shared" si="12"/>
        <v>45850</v>
      </c>
      <c r="R90" s="34">
        <f t="shared" si="13"/>
        <v>2120</v>
      </c>
      <c r="S90" s="35">
        <f t="shared" si="14"/>
        <v>32.9</v>
      </c>
      <c r="T90" s="34">
        <f t="shared" si="15"/>
        <v>15913</v>
      </c>
    </row>
    <row r="91" spans="1:20" x14ac:dyDescent="0.25">
      <c r="A91" s="32">
        <f>'Daily Energy'!A91</f>
        <v>45837</v>
      </c>
      <c r="B91" s="33" t="str">
        <f>'Daily Energy'!B91</f>
        <v>Sunday</v>
      </c>
      <c r="C91" s="33" t="str">
        <f>'Daily Energy'!C91</f>
        <v>No</v>
      </c>
      <c r="D91" s="34">
        <f>'Daily Energy'!D91</f>
        <v>0</v>
      </c>
      <c r="E91" s="35">
        <f>'Daily Energy'!E91</f>
        <v>32</v>
      </c>
      <c r="F91" s="34">
        <f>'Daily Energy'!F91</f>
        <v>3910</v>
      </c>
      <c r="G91" s="34">
        <f>'Daily Energy'!G91</f>
        <v>535</v>
      </c>
      <c r="H91" s="34">
        <f t="shared" si="8"/>
        <v>4445</v>
      </c>
      <c r="I91" s="36">
        <f t="shared" si="9"/>
        <v>45809</v>
      </c>
      <c r="J91" s="34">
        <f t="shared" si="10"/>
        <v>4445</v>
      </c>
      <c r="K91" s="34" t="str">
        <f t="shared" si="11"/>
        <v/>
      </c>
      <c r="L91" s="33">
        <f>IF(AND(C91="No",H91&gt;'Analysis Summary'!$B$5),1,0)</f>
        <v>0</v>
      </c>
      <c r="M91" s="33" t="str">
        <f>IF(L91=1,SUM($L$2:L91),"")</f>
        <v/>
      </c>
      <c r="N91" s="33" t="str">
        <f>IF(C91="Yes",COUNTIF($C$2:C91,"Yes"),"")</f>
        <v/>
      </c>
      <c r="P91" s="37">
        <v>90</v>
      </c>
      <c r="Q91" s="32">
        <f t="shared" si="12"/>
        <v>45852</v>
      </c>
      <c r="R91" s="34">
        <f t="shared" si="13"/>
        <v>1823</v>
      </c>
      <c r="S91" s="35">
        <f t="shared" si="14"/>
        <v>34.9</v>
      </c>
      <c r="T91" s="34">
        <f t="shared" si="15"/>
        <v>14186</v>
      </c>
    </row>
    <row r="92" spans="1:20" x14ac:dyDescent="0.25">
      <c r="A92" s="32">
        <f>'Daily Energy'!A92</f>
        <v>45838</v>
      </c>
      <c r="B92" s="33" t="str">
        <f>'Daily Energy'!B92</f>
        <v>Monday</v>
      </c>
      <c r="C92" s="33" t="str">
        <f>'Daily Energy'!C92</f>
        <v>Yes</v>
      </c>
      <c r="D92" s="34">
        <f>'Daily Energy'!D92</f>
        <v>1844</v>
      </c>
      <c r="E92" s="35">
        <f>'Daily Energy'!E92</f>
        <v>33</v>
      </c>
      <c r="F92" s="34">
        <f>'Daily Energy'!F92</f>
        <v>12914</v>
      </c>
      <c r="G92" s="34">
        <f>'Daily Energy'!G92</f>
        <v>595</v>
      </c>
      <c r="H92" s="34">
        <f t="shared" si="8"/>
        <v>13509</v>
      </c>
      <c r="I92" s="36">
        <f t="shared" si="9"/>
        <v>45809</v>
      </c>
      <c r="J92" s="34" t="str">
        <f t="shared" si="10"/>
        <v/>
      </c>
      <c r="K92" s="34">
        <f t="shared" si="11"/>
        <v>13509</v>
      </c>
      <c r="L92" s="33">
        <f>IF(AND(C92="No",H92&gt;'Analysis Summary'!$B$5),1,0)</f>
        <v>0</v>
      </c>
      <c r="M92" s="33" t="str">
        <f>IF(L92=1,SUM($L$2:L92),"")</f>
        <v/>
      </c>
      <c r="N92" s="33">
        <f>IF(C92="Yes",COUNTIF($C$2:C92,"Yes"),"")</f>
        <v>78</v>
      </c>
      <c r="P92" s="37">
        <v>91</v>
      </c>
      <c r="Q92" s="32">
        <f t="shared" si="12"/>
        <v>45853</v>
      </c>
      <c r="R92" s="34">
        <f t="shared" si="13"/>
        <v>1711</v>
      </c>
      <c r="S92" s="35">
        <f t="shared" si="14"/>
        <v>32.5</v>
      </c>
      <c r="T92" s="34">
        <f t="shared" si="15"/>
        <v>13353</v>
      </c>
    </row>
    <row r="93" spans="1:20" x14ac:dyDescent="0.25">
      <c r="A93" s="32">
        <f>'Daily Energy'!A93</f>
        <v>45839</v>
      </c>
      <c r="B93" s="33" t="str">
        <f>'Daily Energy'!B93</f>
        <v>Tuesday</v>
      </c>
      <c r="C93" s="33" t="str">
        <f>'Daily Energy'!C93</f>
        <v>Yes</v>
      </c>
      <c r="D93" s="34">
        <f>'Daily Energy'!D93</f>
        <v>1642</v>
      </c>
      <c r="E93" s="35">
        <f>'Daily Energy'!E93</f>
        <v>31.4</v>
      </c>
      <c r="F93" s="34">
        <f>'Daily Energy'!F93</f>
        <v>12667</v>
      </c>
      <c r="G93" s="34">
        <f>'Daily Energy'!G93</f>
        <v>626</v>
      </c>
      <c r="H93" s="34">
        <f t="shared" si="8"/>
        <v>13293</v>
      </c>
      <c r="I93" s="36">
        <f t="shared" si="9"/>
        <v>45839</v>
      </c>
      <c r="J93" s="34" t="str">
        <f t="shared" si="10"/>
        <v/>
      </c>
      <c r="K93" s="34">
        <f t="shared" si="11"/>
        <v>13293</v>
      </c>
      <c r="L93" s="33">
        <f>IF(AND(C93="No",H93&gt;'Analysis Summary'!$B$5),1,0)</f>
        <v>0</v>
      </c>
      <c r="M93" s="33" t="str">
        <f>IF(L93=1,SUM($L$2:L93),"")</f>
        <v/>
      </c>
      <c r="N93" s="33">
        <f>IF(C93="Yes",COUNTIF($C$2:C93,"Yes"),"")</f>
        <v>79</v>
      </c>
      <c r="P93" s="37">
        <v>92</v>
      </c>
      <c r="Q93" s="32">
        <f t="shared" si="12"/>
        <v>45854</v>
      </c>
      <c r="R93" s="34">
        <f t="shared" si="13"/>
        <v>1883</v>
      </c>
      <c r="S93" s="35">
        <f t="shared" si="14"/>
        <v>32.9</v>
      </c>
      <c r="T93" s="34">
        <f t="shared" si="15"/>
        <v>14471</v>
      </c>
    </row>
    <row r="94" spans="1:20" x14ac:dyDescent="0.25">
      <c r="A94" s="32">
        <f>'Daily Energy'!A94</f>
        <v>45840</v>
      </c>
      <c r="B94" s="33" t="str">
        <f>'Daily Energy'!B94</f>
        <v>Wednesday</v>
      </c>
      <c r="C94" s="33" t="str">
        <f>'Daily Energy'!C94</f>
        <v>Yes</v>
      </c>
      <c r="D94" s="34">
        <f>'Daily Energy'!D94</f>
        <v>1844</v>
      </c>
      <c r="E94" s="35">
        <f>'Daily Energy'!E94</f>
        <v>32</v>
      </c>
      <c r="F94" s="34">
        <f>'Daily Energy'!F94</f>
        <v>13420</v>
      </c>
      <c r="G94" s="34">
        <f>'Daily Energy'!G94</f>
        <v>764</v>
      </c>
      <c r="H94" s="34">
        <f t="shared" si="8"/>
        <v>14184</v>
      </c>
      <c r="I94" s="36">
        <f t="shared" si="9"/>
        <v>45839</v>
      </c>
      <c r="J94" s="34" t="str">
        <f t="shared" si="10"/>
        <v/>
      </c>
      <c r="K94" s="34">
        <f t="shared" si="11"/>
        <v>14184</v>
      </c>
      <c r="L94" s="33">
        <f>IF(AND(C94="No",H94&gt;'Analysis Summary'!$B$5),1,0)</f>
        <v>0</v>
      </c>
      <c r="M94" s="33" t="str">
        <f>IF(L94=1,SUM($L$2:L94),"")</f>
        <v/>
      </c>
      <c r="N94" s="33">
        <f>IF(C94="Yes",COUNTIF($C$2:C94,"Yes"),"")</f>
        <v>80</v>
      </c>
      <c r="P94" s="37">
        <v>93</v>
      </c>
      <c r="Q94" s="32">
        <f t="shared" si="12"/>
        <v>45855</v>
      </c>
      <c r="R94" s="34">
        <f t="shared" si="13"/>
        <v>1843</v>
      </c>
      <c r="S94" s="35">
        <f t="shared" si="14"/>
        <v>33.299999999999997</v>
      </c>
      <c r="T94" s="34">
        <f t="shared" si="15"/>
        <v>13539</v>
      </c>
    </row>
    <row r="95" spans="1:20" x14ac:dyDescent="0.25">
      <c r="A95" s="32">
        <f>'Daily Energy'!A95</f>
        <v>45841</v>
      </c>
      <c r="B95" s="33" t="str">
        <f>'Daily Energy'!B95</f>
        <v>Thursday</v>
      </c>
      <c r="C95" s="33" t="str">
        <f>'Daily Energy'!C95</f>
        <v>Yes</v>
      </c>
      <c r="D95" s="34">
        <f>'Daily Energy'!D95</f>
        <v>1833</v>
      </c>
      <c r="E95" s="35">
        <f>'Daily Energy'!E95</f>
        <v>35.4</v>
      </c>
      <c r="F95" s="34">
        <f>'Daily Energy'!F95</f>
        <v>14091</v>
      </c>
      <c r="G95" s="34">
        <f>'Daily Energy'!G95</f>
        <v>786</v>
      </c>
      <c r="H95" s="34">
        <f t="shared" si="8"/>
        <v>14877</v>
      </c>
      <c r="I95" s="36">
        <f t="shared" si="9"/>
        <v>45839</v>
      </c>
      <c r="J95" s="34" t="str">
        <f t="shared" si="10"/>
        <v/>
      </c>
      <c r="K95" s="34">
        <f t="shared" si="11"/>
        <v>14877</v>
      </c>
      <c r="L95" s="33">
        <f>IF(AND(C95="No",H95&gt;'Analysis Summary'!$B$5),1,0)</f>
        <v>0</v>
      </c>
      <c r="M95" s="33" t="str">
        <f>IF(L95=1,SUM($L$2:L95),"")</f>
        <v/>
      </c>
      <c r="N95" s="33">
        <f>IF(C95="Yes",COUNTIF($C$2:C95,"Yes"),"")</f>
        <v>81</v>
      </c>
      <c r="P95" s="37">
        <v>94</v>
      </c>
      <c r="Q95" s="32">
        <f t="shared" si="12"/>
        <v>45856</v>
      </c>
      <c r="R95" s="34">
        <f t="shared" si="13"/>
        <v>1755</v>
      </c>
      <c r="S95" s="35">
        <f t="shared" si="14"/>
        <v>33.299999999999997</v>
      </c>
      <c r="T95" s="34">
        <f t="shared" si="15"/>
        <v>13391</v>
      </c>
    </row>
    <row r="96" spans="1:20" x14ac:dyDescent="0.25">
      <c r="A96" s="32">
        <f>'Daily Energy'!A96</f>
        <v>45842</v>
      </c>
      <c r="B96" s="33" t="str">
        <f>'Daily Energy'!B96</f>
        <v>Friday</v>
      </c>
      <c r="C96" s="33" t="str">
        <f>'Daily Energy'!C96</f>
        <v>Yes</v>
      </c>
      <c r="D96" s="34">
        <f>'Daily Energy'!D96</f>
        <v>1808</v>
      </c>
      <c r="E96" s="35">
        <f>'Daily Energy'!E96</f>
        <v>33.700000000000003</v>
      </c>
      <c r="F96" s="34">
        <f>'Daily Energy'!F96</f>
        <v>12987</v>
      </c>
      <c r="G96" s="34">
        <f>'Daily Energy'!G96</f>
        <v>572</v>
      </c>
      <c r="H96" s="34">
        <f t="shared" si="8"/>
        <v>13559</v>
      </c>
      <c r="I96" s="36">
        <f t="shared" si="9"/>
        <v>45839</v>
      </c>
      <c r="J96" s="34" t="str">
        <f t="shared" si="10"/>
        <v/>
      </c>
      <c r="K96" s="34">
        <f t="shared" si="11"/>
        <v>13559</v>
      </c>
      <c r="L96" s="33">
        <f>IF(AND(C96="No",H96&gt;'Analysis Summary'!$B$5),1,0)</f>
        <v>0</v>
      </c>
      <c r="M96" s="33" t="str">
        <f>IF(L96=1,SUM($L$2:L96),"")</f>
        <v/>
      </c>
      <c r="N96" s="33">
        <f>IF(C96="Yes",COUNTIF($C$2:C96,"Yes"),"")</f>
        <v>82</v>
      </c>
      <c r="P96" s="37">
        <v>95</v>
      </c>
      <c r="Q96" s="32">
        <f t="shared" si="12"/>
        <v>45857</v>
      </c>
      <c r="R96" s="34">
        <f t="shared" si="13"/>
        <v>1671</v>
      </c>
      <c r="S96" s="35">
        <f t="shared" si="14"/>
        <v>30</v>
      </c>
      <c r="T96" s="34">
        <f t="shared" si="15"/>
        <v>11979</v>
      </c>
    </row>
    <row r="97" spans="1:20" x14ac:dyDescent="0.25">
      <c r="A97" s="32">
        <f>'Daily Energy'!A97</f>
        <v>45843</v>
      </c>
      <c r="B97" s="33" t="str">
        <f>'Daily Energy'!B97</f>
        <v>Saturday</v>
      </c>
      <c r="C97" s="33" t="str">
        <f>'Daily Energy'!C97</f>
        <v>Yes</v>
      </c>
      <c r="D97" s="34">
        <f>'Daily Energy'!D97</f>
        <v>1583</v>
      </c>
      <c r="E97" s="35">
        <f>'Daily Energy'!E97</f>
        <v>32.299999999999997</v>
      </c>
      <c r="F97" s="34">
        <f>'Daily Energy'!F97</f>
        <v>11835</v>
      </c>
      <c r="G97" s="34">
        <f>'Daily Energy'!G97</f>
        <v>683</v>
      </c>
      <c r="H97" s="34">
        <f t="shared" si="8"/>
        <v>12518</v>
      </c>
      <c r="I97" s="36">
        <f t="shared" si="9"/>
        <v>45839</v>
      </c>
      <c r="J97" s="34" t="str">
        <f t="shared" si="10"/>
        <v/>
      </c>
      <c r="K97" s="34">
        <f t="shared" si="11"/>
        <v>12518</v>
      </c>
      <c r="L97" s="33">
        <f>IF(AND(C97="No",H97&gt;'Analysis Summary'!$B$5),1,0)</f>
        <v>0</v>
      </c>
      <c r="M97" s="33" t="str">
        <f>IF(L97=1,SUM($L$2:L97),"")</f>
        <v/>
      </c>
      <c r="N97" s="33">
        <f>IF(C97="Yes",COUNTIF($C$2:C97,"Yes"),"")</f>
        <v>83</v>
      </c>
      <c r="P97" s="37">
        <v>96</v>
      </c>
      <c r="Q97" s="32">
        <f t="shared" si="12"/>
        <v>45859</v>
      </c>
      <c r="R97" s="34">
        <f t="shared" si="13"/>
        <v>2032</v>
      </c>
      <c r="S97" s="35">
        <f t="shared" si="14"/>
        <v>31.7</v>
      </c>
      <c r="T97" s="34">
        <f t="shared" si="15"/>
        <v>14884</v>
      </c>
    </row>
    <row r="98" spans="1:20" x14ac:dyDescent="0.25">
      <c r="A98" s="32">
        <f>'Daily Energy'!A98</f>
        <v>45844</v>
      </c>
      <c r="B98" s="33" t="str">
        <f>'Daily Energy'!B98</f>
        <v>Sunday</v>
      </c>
      <c r="C98" s="33" t="str">
        <f>'Daily Energy'!C98</f>
        <v>No</v>
      </c>
      <c r="D98" s="34">
        <f>'Daily Energy'!D98</f>
        <v>0</v>
      </c>
      <c r="E98" s="35">
        <f>'Daily Energy'!E98</f>
        <v>30.6</v>
      </c>
      <c r="F98" s="34">
        <f>'Daily Energy'!F98</f>
        <v>3060</v>
      </c>
      <c r="G98" s="34">
        <f>'Daily Energy'!G98</f>
        <v>718</v>
      </c>
      <c r="H98" s="34">
        <f t="shared" si="8"/>
        <v>3778</v>
      </c>
      <c r="I98" s="36">
        <f t="shared" si="9"/>
        <v>45839</v>
      </c>
      <c r="J98" s="34">
        <f t="shared" si="10"/>
        <v>3778</v>
      </c>
      <c r="K98" s="34" t="str">
        <f t="shared" si="11"/>
        <v/>
      </c>
      <c r="L98" s="33">
        <f>IF(AND(C98="No",H98&gt;'Analysis Summary'!$B$5),1,0)</f>
        <v>0</v>
      </c>
      <c r="M98" s="33" t="str">
        <f>IF(L98=1,SUM($L$2:L98),"")</f>
        <v/>
      </c>
      <c r="N98" s="33" t="str">
        <f>IF(C98="Yes",COUNTIF($C$2:C98,"Yes"),"")</f>
        <v/>
      </c>
      <c r="P98" s="37">
        <v>97</v>
      </c>
      <c r="Q98" s="32">
        <f t="shared" si="12"/>
        <v>45860</v>
      </c>
      <c r="R98" s="34">
        <f t="shared" si="13"/>
        <v>1860</v>
      </c>
      <c r="S98" s="35">
        <f t="shared" si="14"/>
        <v>31.2</v>
      </c>
      <c r="T98" s="34">
        <f t="shared" si="15"/>
        <v>13339</v>
      </c>
    </row>
    <row r="99" spans="1:20" x14ac:dyDescent="0.25">
      <c r="A99" s="32">
        <f>'Daily Energy'!A99</f>
        <v>45845</v>
      </c>
      <c r="B99" s="33" t="str">
        <f>'Daily Energy'!B99</f>
        <v>Monday</v>
      </c>
      <c r="C99" s="33" t="str">
        <f>'Daily Energy'!C99</f>
        <v>Yes</v>
      </c>
      <c r="D99" s="34">
        <f>'Daily Energy'!D99</f>
        <v>1773</v>
      </c>
      <c r="E99" s="35">
        <f>'Daily Energy'!E99</f>
        <v>37</v>
      </c>
      <c r="F99" s="34">
        <f>'Daily Energy'!F99</f>
        <v>13953</v>
      </c>
      <c r="G99" s="34">
        <f>'Daily Energy'!G99</f>
        <v>886</v>
      </c>
      <c r="H99" s="34">
        <f t="shared" si="8"/>
        <v>14839</v>
      </c>
      <c r="I99" s="36">
        <f t="shared" si="9"/>
        <v>45839</v>
      </c>
      <c r="J99" s="34" t="str">
        <f t="shared" si="10"/>
        <v/>
      </c>
      <c r="K99" s="34">
        <f t="shared" si="11"/>
        <v>14839</v>
      </c>
      <c r="L99" s="33">
        <f>IF(AND(C99="No",H99&gt;'Analysis Summary'!$B$5),1,0)</f>
        <v>0</v>
      </c>
      <c r="M99" s="33" t="str">
        <f>IF(L99=1,SUM($L$2:L99),"")</f>
        <v/>
      </c>
      <c r="N99" s="33">
        <f>IF(C99="Yes",COUNTIF($C$2:C99,"Yes"),"")</f>
        <v>84</v>
      </c>
      <c r="P99" s="37">
        <v>98</v>
      </c>
      <c r="Q99" s="32">
        <f t="shared" si="12"/>
        <v>45861</v>
      </c>
      <c r="R99" s="34">
        <f t="shared" si="13"/>
        <v>1864</v>
      </c>
      <c r="S99" s="35">
        <f t="shared" si="14"/>
        <v>32.6</v>
      </c>
      <c r="T99" s="34">
        <f t="shared" si="15"/>
        <v>14190</v>
      </c>
    </row>
    <row r="100" spans="1:20" x14ac:dyDescent="0.25">
      <c r="A100" s="32">
        <f>'Daily Energy'!A100</f>
        <v>45846</v>
      </c>
      <c r="B100" s="33" t="str">
        <f>'Daily Energy'!B100</f>
        <v>Tuesday</v>
      </c>
      <c r="C100" s="33" t="str">
        <f>'Daily Energy'!C100</f>
        <v>Yes</v>
      </c>
      <c r="D100" s="34">
        <f>'Daily Energy'!D100</f>
        <v>1846</v>
      </c>
      <c r="E100" s="35">
        <f>'Daily Energy'!E100</f>
        <v>31.9</v>
      </c>
      <c r="F100" s="34">
        <f>'Daily Energy'!F100</f>
        <v>12770</v>
      </c>
      <c r="G100" s="34">
        <f>'Daily Energy'!G100</f>
        <v>413</v>
      </c>
      <c r="H100" s="34">
        <f t="shared" si="8"/>
        <v>13183</v>
      </c>
      <c r="I100" s="36">
        <f t="shared" si="9"/>
        <v>45839</v>
      </c>
      <c r="J100" s="34" t="str">
        <f t="shared" si="10"/>
        <v/>
      </c>
      <c r="K100" s="34">
        <f t="shared" si="11"/>
        <v>13183</v>
      </c>
      <c r="L100" s="33">
        <f>IF(AND(C100="No",H100&gt;'Analysis Summary'!$B$5),1,0)</f>
        <v>0</v>
      </c>
      <c r="M100" s="33" t="str">
        <f>IF(L100=1,SUM($L$2:L100),"")</f>
        <v/>
      </c>
      <c r="N100" s="33">
        <f>IF(C100="Yes",COUNTIF($C$2:C100,"Yes"),"")</f>
        <v>85</v>
      </c>
      <c r="P100" s="37">
        <v>99</v>
      </c>
      <c r="Q100" s="32">
        <f t="shared" si="12"/>
        <v>45862</v>
      </c>
      <c r="R100" s="34">
        <f t="shared" si="13"/>
        <v>1754</v>
      </c>
      <c r="S100" s="35">
        <f t="shared" si="14"/>
        <v>33.9</v>
      </c>
      <c r="T100" s="34">
        <f t="shared" si="15"/>
        <v>13382</v>
      </c>
    </row>
    <row r="101" spans="1:20" x14ac:dyDescent="0.25">
      <c r="A101" s="32">
        <f>'Daily Energy'!A101</f>
        <v>45847</v>
      </c>
      <c r="B101" s="33" t="str">
        <f>'Daily Energy'!B101</f>
        <v>Wednesday</v>
      </c>
      <c r="C101" s="33" t="str">
        <f>'Daily Energy'!C101</f>
        <v>Yes</v>
      </c>
      <c r="D101" s="34">
        <f>'Daily Energy'!D101</f>
        <v>1626</v>
      </c>
      <c r="E101" s="35">
        <f>'Daily Energy'!E101</f>
        <v>32.299999999999997</v>
      </c>
      <c r="F101" s="34">
        <f>'Daily Energy'!F101</f>
        <v>11826</v>
      </c>
      <c r="G101" s="34">
        <f>'Daily Energy'!G101</f>
        <v>662</v>
      </c>
      <c r="H101" s="34">
        <f t="shared" si="8"/>
        <v>12488</v>
      </c>
      <c r="I101" s="36">
        <f t="shared" si="9"/>
        <v>45839</v>
      </c>
      <c r="J101" s="34" t="str">
        <f t="shared" si="10"/>
        <v/>
      </c>
      <c r="K101" s="34">
        <f t="shared" si="11"/>
        <v>12488</v>
      </c>
      <c r="L101" s="33">
        <f>IF(AND(C101="No",H101&gt;'Analysis Summary'!$B$5),1,0)</f>
        <v>0</v>
      </c>
      <c r="M101" s="33" t="str">
        <f>IF(L101=1,SUM($L$2:L101),"")</f>
        <v/>
      </c>
      <c r="N101" s="33">
        <f>IF(C101="Yes",COUNTIF($C$2:C101,"Yes"),"")</f>
        <v>86</v>
      </c>
      <c r="P101" s="37">
        <v>100</v>
      </c>
      <c r="Q101" s="32">
        <f t="shared" si="12"/>
        <v>45863</v>
      </c>
      <c r="R101" s="34">
        <f t="shared" si="13"/>
        <v>1970</v>
      </c>
      <c r="S101" s="35">
        <f t="shared" si="14"/>
        <v>32.299999999999997</v>
      </c>
      <c r="T101" s="34">
        <f t="shared" si="15"/>
        <v>15272</v>
      </c>
    </row>
    <row r="102" spans="1:20" x14ac:dyDescent="0.25">
      <c r="A102" s="32">
        <f>'Daily Energy'!A102</f>
        <v>45848</v>
      </c>
      <c r="B102" s="33" t="str">
        <f>'Daily Energy'!B102</f>
        <v>Thursday</v>
      </c>
      <c r="C102" s="33" t="str">
        <f>'Daily Energy'!C102</f>
        <v>Yes</v>
      </c>
      <c r="D102" s="34">
        <f>'Daily Energy'!D102</f>
        <v>1863</v>
      </c>
      <c r="E102" s="35">
        <f>'Daily Energy'!E102</f>
        <v>30.8</v>
      </c>
      <c r="F102" s="34">
        <f>'Daily Energy'!F102</f>
        <v>12881</v>
      </c>
      <c r="G102" s="34">
        <f>'Daily Energy'!G102</f>
        <v>505</v>
      </c>
      <c r="H102" s="34">
        <f t="shared" si="8"/>
        <v>13386</v>
      </c>
      <c r="I102" s="36">
        <f t="shared" si="9"/>
        <v>45839</v>
      </c>
      <c r="J102" s="34" t="str">
        <f t="shared" si="10"/>
        <v/>
      </c>
      <c r="K102" s="34">
        <f t="shared" si="11"/>
        <v>13386</v>
      </c>
      <c r="L102" s="33">
        <f>IF(AND(C102="No",H102&gt;'Analysis Summary'!$B$5),1,0)</f>
        <v>0</v>
      </c>
      <c r="M102" s="33" t="str">
        <f>IF(L102=1,SUM($L$2:L102),"")</f>
        <v/>
      </c>
      <c r="N102" s="33">
        <f>IF(C102="Yes",COUNTIF($C$2:C102,"Yes"),"")</f>
        <v>87</v>
      </c>
      <c r="P102" s="37">
        <v>101</v>
      </c>
      <c r="Q102" s="32">
        <f t="shared" si="12"/>
        <v>45864</v>
      </c>
      <c r="R102" s="34">
        <f t="shared" si="13"/>
        <v>1698</v>
      </c>
      <c r="S102" s="35">
        <f t="shared" si="14"/>
        <v>30.9</v>
      </c>
      <c r="T102" s="34">
        <f t="shared" si="15"/>
        <v>13114</v>
      </c>
    </row>
    <row r="103" spans="1:20" x14ac:dyDescent="0.25">
      <c r="A103" s="32">
        <f>'Daily Energy'!A103</f>
        <v>45849</v>
      </c>
      <c r="B103" s="33" t="str">
        <f>'Daily Energy'!B103</f>
        <v>Friday</v>
      </c>
      <c r="C103" s="33" t="str">
        <f>'Daily Energy'!C103</f>
        <v>Yes</v>
      </c>
      <c r="D103" s="34">
        <f>'Daily Energy'!D103</f>
        <v>1829</v>
      </c>
      <c r="E103" s="35">
        <f>'Daily Energy'!E103</f>
        <v>33</v>
      </c>
      <c r="F103" s="34">
        <f>'Daily Energy'!F103</f>
        <v>12840</v>
      </c>
      <c r="G103" s="34">
        <f>'Daily Energy'!G103</f>
        <v>648</v>
      </c>
      <c r="H103" s="34">
        <f t="shared" si="8"/>
        <v>13488</v>
      </c>
      <c r="I103" s="36">
        <f t="shared" si="9"/>
        <v>45839</v>
      </c>
      <c r="J103" s="34" t="str">
        <f t="shared" si="10"/>
        <v/>
      </c>
      <c r="K103" s="34">
        <f t="shared" si="11"/>
        <v>13488</v>
      </c>
      <c r="L103" s="33">
        <f>IF(AND(C103="No",H103&gt;'Analysis Summary'!$B$5),1,0)</f>
        <v>0</v>
      </c>
      <c r="M103" s="33" t="str">
        <f>IF(L103=1,SUM($L$2:L103),"")</f>
        <v/>
      </c>
      <c r="N103" s="33">
        <f>IF(C103="Yes",COUNTIF($C$2:C103,"Yes"),"")</f>
        <v>88</v>
      </c>
      <c r="P103" s="37">
        <v>102</v>
      </c>
      <c r="Q103" s="32">
        <f t="shared" si="12"/>
        <v>45866</v>
      </c>
      <c r="R103" s="34">
        <f t="shared" si="13"/>
        <v>1742</v>
      </c>
      <c r="S103" s="35">
        <f t="shared" si="14"/>
        <v>34.6</v>
      </c>
      <c r="T103" s="34">
        <f t="shared" si="15"/>
        <v>13213</v>
      </c>
    </row>
    <row r="104" spans="1:20" x14ac:dyDescent="0.25">
      <c r="A104" s="32">
        <f>'Daily Energy'!A104</f>
        <v>45850</v>
      </c>
      <c r="B104" s="33" t="str">
        <f>'Daily Energy'!B104</f>
        <v>Saturday</v>
      </c>
      <c r="C104" s="33" t="str">
        <f>'Daily Energy'!C104</f>
        <v>Yes</v>
      </c>
      <c r="D104" s="34">
        <f>'Daily Energy'!D104</f>
        <v>2120</v>
      </c>
      <c r="E104" s="35">
        <f>'Daily Energy'!E104</f>
        <v>32.9</v>
      </c>
      <c r="F104" s="34">
        <f>'Daily Energy'!F104</f>
        <v>15044</v>
      </c>
      <c r="G104" s="34">
        <f>'Daily Energy'!G104</f>
        <v>869</v>
      </c>
      <c r="H104" s="34">
        <f t="shared" si="8"/>
        <v>15913</v>
      </c>
      <c r="I104" s="36">
        <f t="shared" si="9"/>
        <v>45839</v>
      </c>
      <c r="J104" s="34" t="str">
        <f t="shared" si="10"/>
        <v/>
      </c>
      <c r="K104" s="34">
        <f t="shared" si="11"/>
        <v>15913</v>
      </c>
      <c r="L104" s="33">
        <f>IF(AND(C104="No",H104&gt;'Analysis Summary'!$B$5),1,0)</f>
        <v>0</v>
      </c>
      <c r="M104" s="33" t="str">
        <f>IF(L104=1,SUM($L$2:L104),"")</f>
        <v/>
      </c>
      <c r="N104" s="33">
        <f>IF(C104="Yes",COUNTIF($C$2:C104,"Yes"),"")</f>
        <v>89</v>
      </c>
      <c r="P104" s="37">
        <v>103</v>
      </c>
      <c r="Q104" s="32">
        <f t="shared" si="12"/>
        <v>45867</v>
      </c>
      <c r="R104" s="34">
        <f t="shared" si="13"/>
        <v>1720</v>
      </c>
      <c r="S104" s="35">
        <f t="shared" si="14"/>
        <v>32.299999999999997</v>
      </c>
      <c r="T104" s="34">
        <f t="shared" si="15"/>
        <v>12898</v>
      </c>
    </row>
    <row r="105" spans="1:20" x14ac:dyDescent="0.25">
      <c r="A105" s="32">
        <f>'Daily Energy'!A105</f>
        <v>45851</v>
      </c>
      <c r="B105" s="33" t="str">
        <f>'Daily Energy'!B105</f>
        <v>Sunday</v>
      </c>
      <c r="C105" s="33" t="str">
        <f>'Daily Energy'!C105</f>
        <v>No</v>
      </c>
      <c r="D105" s="34">
        <f>'Daily Energy'!D105</f>
        <v>0</v>
      </c>
      <c r="E105" s="35">
        <f>'Daily Energy'!E105</f>
        <v>35.299999999999997</v>
      </c>
      <c r="F105" s="34">
        <f>'Daily Energy'!F105</f>
        <v>3939</v>
      </c>
      <c r="G105" s="34">
        <f>'Daily Energy'!G105</f>
        <v>403</v>
      </c>
      <c r="H105" s="34">
        <f t="shared" si="8"/>
        <v>4342</v>
      </c>
      <c r="I105" s="36">
        <f t="shared" si="9"/>
        <v>45839</v>
      </c>
      <c r="J105" s="34">
        <f t="shared" si="10"/>
        <v>4342</v>
      </c>
      <c r="K105" s="34" t="str">
        <f t="shared" si="11"/>
        <v/>
      </c>
      <c r="L105" s="33">
        <f>IF(AND(C105="No",H105&gt;'Analysis Summary'!$B$5),1,0)</f>
        <v>0</v>
      </c>
      <c r="M105" s="33" t="str">
        <f>IF(L105=1,SUM($L$2:L105),"")</f>
        <v/>
      </c>
      <c r="N105" s="33" t="str">
        <f>IF(C105="Yes",COUNTIF($C$2:C105,"Yes"),"")</f>
        <v/>
      </c>
      <c r="P105" s="37">
        <v>104</v>
      </c>
      <c r="Q105" s="32">
        <f t="shared" si="12"/>
        <v>45868</v>
      </c>
      <c r="R105" s="34">
        <f t="shared" si="13"/>
        <v>1888</v>
      </c>
      <c r="S105" s="35">
        <f t="shared" si="14"/>
        <v>33.799999999999997</v>
      </c>
      <c r="T105" s="34">
        <f t="shared" si="15"/>
        <v>14194</v>
      </c>
    </row>
    <row r="106" spans="1:20" x14ac:dyDescent="0.25">
      <c r="A106" s="32">
        <f>'Daily Energy'!A106</f>
        <v>45852</v>
      </c>
      <c r="B106" s="33" t="str">
        <f>'Daily Energy'!B106</f>
        <v>Monday</v>
      </c>
      <c r="C106" s="33" t="str">
        <f>'Daily Energy'!C106</f>
        <v>Yes</v>
      </c>
      <c r="D106" s="34">
        <f>'Daily Energy'!D106</f>
        <v>1823</v>
      </c>
      <c r="E106" s="35">
        <f>'Daily Energy'!E106</f>
        <v>34.9</v>
      </c>
      <c r="F106" s="34">
        <f>'Daily Energy'!F106</f>
        <v>13593</v>
      </c>
      <c r="G106" s="34">
        <f>'Daily Energy'!G106</f>
        <v>593</v>
      </c>
      <c r="H106" s="34">
        <f t="shared" si="8"/>
        <v>14186</v>
      </c>
      <c r="I106" s="36">
        <f t="shared" si="9"/>
        <v>45839</v>
      </c>
      <c r="J106" s="34" t="str">
        <f t="shared" si="10"/>
        <v/>
      </c>
      <c r="K106" s="34">
        <f t="shared" si="11"/>
        <v>14186</v>
      </c>
      <c r="L106" s="33">
        <f>IF(AND(C106="No",H106&gt;'Analysis Summary'!$B$5),1,0)</f>
        <v>0</v>
      </c>
      <c r="M106" s="33" t="str">
        <f>IF(L106=1,SUM($L$2:L106),"")</f>
        <v/>
      </c>
      <c r="N106" s="33">
        <f>IF(C106="Yes",COUNTIF($C$2:C106,"Yes"),"")</f>
        <v>90</v>
      </c>
      <c r="P106" s="37">
        <v>105</v>
      </c>
      <c r="Q106" s="32">
        <f t="shared" si="12"/>
        <v>45869</v>
      </c>
      <c r="R106" s="34">
        <f t="shared" si="13"/>
        <v>1668</v>
      </c>
      <c r="S106" s="35">
        <f t="shared" si="14"/>
        <v>35.200000000000003</v>
      </c>
      <c r="T106" s="34">
        <f t="shared" si="15"/>
        <v>13932</v>
      </c>
    </row>
    <row r="107" spans="1:20" x14ac:dyDescent="0.25">
      <c r="A107" s="32">
        <f>'Daily Energy'!A107</f>
        <v>45853</v>
      </c>
      <c r="B107" s="33" t="str">
        <f>'Daily Energy'!B107</f>
        <v>Tuesday</v>
      </c>
      <c r="C107" s="33" t="str">
        <f>'Daily Energy'!C107</f>
        <v>Yes</v>
      </c>
      <c r="D107" s="34">
        <f>'Daily Energy'!D107</f>
        <v>1711</v>
      </c>
      <c r="E107" s="35">
        <f>'Daily Energy'!E107</f>
        <v>32.5</v>
      </c>
      <c r="F107" s="34">
        <f>'Daily Energy'!F107</f>
        <v>12771</v>
      </c>
      <c r="G107" s="34">
        <f>'Daily Energy'!G107</f>
        <v>582</v>
      </c>
      <c r="H107" s="34">
        <f t="shared" si="8"/>
        <v>13353</v>
      </c>
      <c r="I107" s="36">
        <f t="shared" si="9"/>
        <v>45839</v>
      </c>
      <c r="J107" s="34" t="str">
        <f t="shared" si="10"/>
        <v/>
      </c>
      <c r="K107" s="34">
        <f t="shared" si="11"/>
        <v>13353</v>
      </c>
      <c r="L107" s="33">
        <f>IF(AND(C107="No",H107&gt;'Analysis Summary'!$B$5),1,0)</f>
        <v>0</v>
      </c>
      <c r="M107" s="33" t="str">
        <f>IF(L107=1,SUM($L$2:L107),"")</f>
        <v/>
      </c>
      <c r="N107" s="33">
        <f>IF(C107="Yes",COUNTIF($C$2:C107,"Yes"),"")</f>
        <v>91</v>
      </c>
      <c r="P107" s="37">
        <v>106</v>
      </c>
      <c r="Q107" s="32">
        <f t="shared" si="12"/>
        <v>45870</v>
      </c>
      <c r="R107" s="34">
        <f t="shared" si="13"/>
        <v>1637</v>
      </c>
      <c r="S107" s="35">
        <f t="shared" si="14"/>
        <v>31.4</v>
      </c>
      <c r="T107" s="34">
        <f t="shared" si="15"/>
        <v>12869</v>
      </c>
    </row>
    <row r="108" spans="1:20" x14ac:dyDescent="0.25">
      <c r="A108" s="32">
        <f>'Daily Energy'!A108</f>
        <v>45854</v>
      </c>
      <c r="B108" s="33" t="str">
        <f>'Daily Energy'!B108</f>
        <v>Wednesday</v>
      </c>
      <c r="C108" s="33" t="str">
        <f>'Daily Energy'!C108</f>
        <v>Yes</v>
      </c>
      <c r="D108" s="34">
        <f>'Daily Energy'!D108</f>
        <v>1883</v>
      </c>
      <c r="E108" s="35">
        <f>'Daily Energy'!E108</f>
        <v>32.9</v>
      </c>
      <c r="F108" s="34">
        <f>'Daily Energy'!F108</f>
        <v>13536</v>
      </c>
      <c r="G108" s="34">
        <f>'Daily Energy'!G108</f>
        <v>935</v>
      </c>
      <c r="H108" s="34">
        <f t="shared" si="8"/>
        <v>14471</v>
      </c>
      <c r="I108" s="36">
        <f t="shared" si="9"/>
        <v>45839</v>
      </c>
      <c r="J108" s="34" t="str">
        <f t="shared" si="10"/>
        <v/>
      </c>
      <c r="K108" s="34">
        <f t="shared" si="11"/>
        <v>14471</v>
      </c>
      <c r="L108" s="33">
        <f>IF(AND(C108="No",H108&gt;'Analysis Summary'!$B$5),1,0)</f>
        <v>0</v>
      </c>
      <c r="M108" s="33" t="str">
        <f>IF(L108=1,SUM($L$2:L108),"")</f>
        <v/>
      </c>
      <c r="N108" s="33">
        <f>IF(C108="Yes",COUNTIF($C$2:C108,"Yes"),"")</f>
        <v>92</v>
      </c>
      <c r="P108" s="37">
        <v>107</v>
      </c>
      <c r="Q108" s="32">
        <f t="shared" si="12"/>
        <v>45871</v>
      </c>
      <c r="R108" s="34">
        <f t="shared" si="13"/>
        <v>2127</v>
      </c>
      <c r="S108" s="35">
        <f t="shared" si="14"/>
        <v>33.799999999999997</v>
      </c>
      <c r="T108" s="34">
        <f t="shared" si="15"/>
        <v>15707</v>
      </c>
    </row>
    <row r="109" spans="1:20" x14ac:dyDescent="0.25">
      <c r="A109" s="32">
        <f>'Daily Energy'!A109</f>
        <v>45855</v>
      </c>
      <c r="B109" s="33" t="str">
        <f>'Daily Energy'!B109</f>
        <v>Thursday</v>
      </c>
      <c r="C109" s="33" t="str">
        <f>'Daily Energy'!C109</f>
        <v>Yes</v>
      </c>
      <c r="D109" s="34">
        <f>'Daily Energy'!D109</f>
        <v>1843</v>
      </c>
      <c r="E109" s="35">
        <f>'Daily Energy'!E109</f>
        <v>33.299999999999997</v>
      </c>
      <c r="F109" s="34">
        <f>'Daily Energy'!F109</f>
        <v>13279</v>
      </c>
      <c r="G109" s="34">
        <f>'Daily Energy'!G109</f>
        <v>260</v>
      </c>
      <c r="H109" s="34">
        <f t="shared" si="8"/>
        <v>13539</v>
      </c>
      <c r="I109" s="36">
        <f t="shared" si="9"/>
        <v>45839</v>
      </c>
      <c r="J109" s="34" t="str">
        <f t="shared" si="10"/>
        <v/>
      </c>
      <c r="K109" s="34">
        <f t="shared" si="11"/>
        <v>13539</v>
      </c>
      <c r="L109" s="33">
        <f>IF(AND(C109="No",H109&gt;'Analysis Summary'!$B$5),1,0)</f>
        <v>0</v>
      </c>
      <c r="M109" s="33" t="str">
        <f>IF(L109=1,SUM($L$2:L109),"")</f>
        <v/>
      </c>
      <c r="N109" s="33">
        <f>IF(C109="Yes",COUNTIF($C$2:C109,"Yes"),"")</f>
        <v>93</v>
      </c>
      <c r="P109" s="37">
        <v>108</v>
      </c>
      <c r="Q109" s="32">
        <f t="shared" si="12"/>
        <v>45873</v>
      </c>
      <c r="R109" s="34">
        <f t="shared" si="13"/>
        <v>2001</v>
      </c>
      <c r="S109" s="35">
        <f t="shared" si="14"/>
        <v>33.4</v>
      </c>
      <c r="T109" s="34">
        <f t="shared" si="15"/>
        <v>15121</v>
      </c>
    </row>
    <row r="110" spans="1:20" x14ac:dyDescent="0.25">
      <c r="A110" s="32">
        <f>'Daily Energy'!A110</f>
        <v>45856</v>
      </c>
      <c r="B110" s="33" t="str">
        <f>'Daily Energy'!B110</f>
        <v>Friday</v>
      </c>
      <c r="C110" s="33" t="str">
        <f>'Daily Energy'!C110</f>
        <v>Yes</v>
      </c>
      <c r="D110" s="34">
        <f>'Daily Energy'!D110</f>
        <v>1755</v>
      </c>
      <c r="E110" s="35">
        <f>'Daily Energy'!E110</f>
        <v>33.299999999999997</v>
      </c>
      <c r="F110" s="34">
        <f>'Daily Energy'!F110</f>
        <v>12682</v>
      </c>
      <c r="G110" s="34">
        <f>'Daily Energy'!G110</f>
        <v>709</v>
      </c>
      <c r="H110" s="34">
        <f t="shared" si="8"/>
        <v>13391</v>
      </c>
      <c r="I110" s="36">
        <f t="shared" si="9"/>
        <v>45839</v>
      </c>
      <c r="J110" s="34" t="str">
        <f t="shared" si="10"/>
        <v/>
      </c>
      <c r="K110" s="34">
        <f t="shared" si="11"/>
        <v>13391</v>
      </c>
      <c r="L110" s="33">
        <f>IF(AND(C110="No",H110&gt;'Analysis Summary'!$B$5),1,0)</f>
        <v>0</v>
      </c>
      <c r="M110" s="33" t="str">
        <f>IF(L110=1,SUM($L$2:L110),"")</f>
        <v/>
      </c>
      <c r="N110" s="33">
        <f>IF(C110="Yes",COUNTIF($C$2:C110,"Yes"),"")</f>
        <v>94</v>
      </c>
      <c r="P110" s="37">
        <v>109</v>
      </c>
      <c r="Q110" s="32">
        <f t="shared" si="12"/>
        <v>45874</v>
      </c>
      <c r="R110" s="34">
        <f t="shared" si="13"/>
        <v>1797</v>
      </c>
      <c r="S110" s="35">
        <f t="shared" si="14"/>
        <v>33.9</v>
      </c>
      <c r="T110" s="34">
        <f t="shared" si="15"/>
        <v>14063</v>
      </c>
    </row>
    <row r="111" spans="1:20" x14ac:dyDescent="0.25">
      <c r="A111" s="32">
        <f>'Daily Energy'!A111</f>
        <v>45857</v>
      </c>
      <c r="B111" s="33" t="str">
        <f>'Daily Energy'!B111</f>
        <v>Saturday</v>
      </c>
      <c r="C111" s="33" t="str">
        <f>'Daily Energy'!C111</f>
        <v>Yes</v>
      </c>
      <c r="D111" s="34">
        <f>'Daily Energy'!D111</f>
        <v>1671</v>
      </c>
      <c r="E111" s="35">
        <f>'Daily Energy'!E111</f>
        <v>30</v>
      </c>
      <c r="F111" s="34">
        <f>'Daily Energy'!F111</f>
        <v>11763</v>
      </c>
      <c r="G111" s="34">
        <f>'Daily Energy'!G111</f>
        <v>216</v>
      </c>
      <c r="H111" s="34">
        <f t="shared" si="8"/>
        <v>11979</v>
      </c>
      <c r="I111" s="36">
        <f t="shared" si="9"/>
        <v>45839</v>
      </c>
      <c r="J111" s="34" t="str">
        <f t="shared" si="10"/>
        <v/>
      </c>
      <c r="K111" s="34">
        <f t="shared" si="11"/>
        <v>11979</v>
      </c>
      <c r="L111" s="33">
        <f>IF(AND(C111="No",H111&gt;'Analysis Summary'!$B$5),1,0)</f>
        <v>0</v>
      </c>
      <c r="M111" s="33" t="str">
        <f>IF(L111=1,SUM($L$2:L111),"")</f>
        <v/>
      </c>
      <c r="N111" s="33">
        <f>IF(C111="Yes",COUNTIF($C$2:C111,"Yes"),"")</f>
        <v>95</v>
      </c>
      <c r="P111" s="37">
        <v>110</v>
      </c>
      <c r="Q111" s="32">
        <f t="shared" si="12"/>
        <v>45875</v>
      </c>
      <c r="R111" s="34">
        <f t="shared" si="13"/>
        <v>1829</v>
      </c>
      <c r="S111" s="35">
        <f t="shared" si="14"/>
        <v>31.9</v>
      </c>
      <c r="T111" s="34">
        <f t="shared" si="15"/>
        <v>14072</v>
      </c>
    </row>
    <row r="112" spans="1:20" x14ac:dyDescent="0.25">
      <c r="A112" s="32">
        <f>'Daily Energy'!A112</f>
        <v>45858</v>
      </c>
      <c r="B112" s="33" t="str">
        <f>'Daily Energy'!B112</f>
        <v>Sunday</v>
      </c>
      <c r="C112" s="33" t="str">
        <f>'Daily Energy'!C112</f>
        <v>No</v>
      </c>
      <c r="D112" s="34">
        <f>'Daily Energy'!D112</f>
        <v>0</v>
      </c>
      <c r="E112" s="35">
        <f>'Daily Energy'!E112</f>
        <v>32.799999999999997</v>
      </c>
      <c r="F112" s="34">
        <f>'Daily Energy'!F112</f>
        <v>3242</v>
      </c>
      <c r="G112" s="34">
        <f>'Daily Energy'!G112</f>
        <v>1041</v>
      </c>
      <c r="H112" s="34">
        <f t="shared" si="8"/>
        <v>4283</v>
      </c>
      <c r="I112" s="36">
        <f t="shared" si="9"/>
        <v>45839</v>
      </c>
      <c r="J112" s="34">
        <f t="shared" si="10"/>
        <v>4283</v>
      </c>
      <c r="K112" s="34" t="str">
        <f t="shared" si="11"/>
        <v/>
      </c>
      <c r="L112" s="33">
        <f>IF(AND(C112="No",H112&gt;'Analysis Summary'!$B$5),1,0)</f>
        <v>0</v>
      </c>
      <c r="M112" s="33" t="str">
        <f>IF(L112=1,SUM($L$2:L112),"")</f>
        <v/>
      </c>
      <c r="N112" s="33" t="str">
        <f>IF(C112="Yes",COUNTIF($C$2:C112,"Yes"),"")</f>
        <v/>
      </c>
      <c r="P112" s="37">
        <v>111</v>
      </c>
      <c r="Q112" s="32">
        <f t="shared" si="12"/>
        <v>45876</v>
      </c>
      <c r="R112" s="34">
        <f t="shared" si="13"/>
        <v>1673</v>
      </c>
      <c r="S112" s="35">
        <f t="shared" si="14"/>
        <v>32.200000000000003</v>
      </c>
      <c r="T112" s="34">
        <f t="shared" si="15"/>
        <v>13244</v>
      </c>
    </row>
    <row r="113" spans="1:20" x14ac:dyDescent="0.25">
      <c r="A113" s="32">
        <f>'Daily Energy'!A113</f>
        <v>45859</v>
      </c>
      <c r="B113" s="33" t="str">
        <f>'Daily Energy'!B113</f>
        <v>Monday</v>
      </c>
      <c r="C113" s="33" t="str">
        <f>'Daily Energy'!C113</f>
        <v>Yes</v>
      </c>
      <c r="D113" s="34">
        <f>'Daily Energy'!D113</f>
        <v>2032</v>
      </c>
      <c r="E113" s="35">
        <f>'Daily Energy'!E113</f>
        <v>31.7</v>
      </c>
      <c r="F113" s="34">
        <f>'Daily Energy'!F113</f>
        <v>14251</v>
      </c>
      <c r="G113" s="34">
        <f>'Daily Energy'!G113</f>
        <v>633</v>
      </c>
      <c r="H113" s="34">
        <f t="shared" si="8"/>
        <v>14884</v>
      </c>
      <c r="I113" s="36">
        <f t="shared" si="9"/>
        <v>45839</v>
      </c>
      <c r="J113" s="34" t="str">
        <f t="shared" si="10"/>
        <v/>
      </c>
      <c r="K113" s="34">
        <f t="shared" si="11"/>
        <v>14884</v>
      </c>
      <c r="L113" s="33">
        <f>IF(AND(C113="No",H113&gt;'Analysis Summary'!$B$5),1,0)</f>
        <v>0</v>
      </c>
      <c r="M113" s="33" t="str">
        <f>IF(L113=1,SUM($L$2:L113),"")</f>
        <v/>
      </c>
      <c r="N113" s="33">
        <f>IF(C113="Yes",COUNTIF($C$2:C113,"Yes"),"")</f>
        <v>96</v>
      </c>
      <c r="P113" s="37">
        <v>112</v>
      </c>
      <c r="Q113" s="32">
        <f t="shared" si="12"/>
        <v>45877</v>
      </c>
      <c r="R113" s="34">
        <f t="shared" si="13"/>
        <v>1862</v>
      </c>
      <c r="S113" s="35">
        <f t="shared" si="14"/>
        <v>32.4</v>
      </c>
      <c r="T113" s="34">
        <f t="shared" si="15"/>
        <v>13707</v>
      </c>
    </row>
    <row r="114" spans="1:20" x14ac:dyDescent="0.25">
      <c r="A114" s="32">
        <f>'Daily Energy'!A114</f>
        <v>45860</v>
      </c>
      <c r="B114" s="33" t="str">
        <f>'Daily Energy'!B114</f>
        <v>Tuesday</v>
      </c>
      <c r="C114" s="33" t="str">
        <f>'Daily Energy'!C114</f>
        <v>Yes</v>
      </c>
      <c r="D114" s="34">
        <f>'Daily Energy'!D114</f>
        <v>1860</v>
      </c>
      <c r="E114" s="35">
        <f>'Daily Energy'!E114</f>
        <v>31.2</v>
      </c>
      <c r="F114" s="34">
        <f>'Daily Energy'!F114</f>
        <v>12668</v>
      </c>
      <c r="G114" s="34">
        <f>'Daily Energy'!G114</f>
        <v>671</v>
      </c>
      <c r="H114" s="34">
        <f t="shared" si="8"/>
        <v>13339</v>
      </c>
      <c r="I114" s="36">
        <f t="shared" si="9"/>
        <v>45839</v>
      </c>
      <c r="J114" s="34" t="str">
        <f t="shared" si="10"/>
        <v/>
      </c>
      <c r="K114" s="34">
        <f t="shared" si="11"/>
        <v>13339</v>
      </c>
      <c r="L114" s="33">
        <f>IF(AND(C114="No",H114&gt;'Analysis Summary'!$B$5),1,0)</f>
        <v>0</v>
      </c>
      <c r="M114" s="33" t="str">
        <f>IF(L114=1,SUM($L$2:L114),"")</f>
        <v/>
      </c>
      <c r="N114" s="33">
        <f>IF(C114="Yes",COUNTIF($C$2:C114,"Yes"),"")</f>
        <v>97</v>
      </c>
      <c r="P114" s="37">
        <v>113</v>
      </c>
      <c r="Q114" s="32">
        <f t="shared" si="12"/>
        <v>45878</v>
      </c>
      <c r="R114" s="34">
        <f t="shared" si="13"/>
        <v>1705</v>
      </c>
      <c r="S114" s="35">
        <f t="shared" si="14"/>
        <v>31.1</v>
      </c>
      <c r="T114" s="34">
        <f t="shared" si="15"/>
        <v>13514</v>
      </c>
    </row>
    <row r="115" spans="1:20" x14ac:dyDescent="0.25">
      <c r="A115" s="32">
        <f>'Daily Energy'!A115</f>
        <v>45861</v>
      </c>
      <c r="B115" s="33" t="str">
        <f>'Daily Energy'!B115</f>
        <v>Wednesday</v>
      </c>
      <c r="C115" s="33" t="str">
        <f>'Daily Energy'!C115</f>
        <v>Yes</v>
      </c>
      <c r="D115" s="34">
        <f>'Daily Energy'!D115</f>
        <v>1864</v>
      </c>
      <c r="E115" s="35">
        <f>'Daily Energy'!E115</f>
        <v>32.6</v>
      </c>
      <c r="F115" s="34">
        <f>'Daily Energy'!F115</f>
        <v>13597</v>
      </c>
      <c r="G115" s="34">
        <f>'Daily Energy'!G115</f>
        <v>593</v>
      </c>
      <c r="H115" s="34">
        <f t="shared" si="8"/>
        <v>14190</v>
      </c>
      <c r="I115" s="36">
        <f t="shared" si="9"/>
        <v>45839</v>
      </c>
      <c r="J115" s="34" t="str">
        <f t="shared" si="10"/>
        <v/>
      </c>
      <c r="K115" s="34">
        <f t="shared" si="11"/>
        <v>14190</v>
      </c>
      <c r="L115" s="33">
        <f>IF(AND(C115="No",H115&gt;'Analysis Summary'!$B$5),1,0)</f>
        <v>0</v>
      </c>
      <c r="M115" s="33" t="str">
        <f>IF(L115=1,SUM($L$2:L115),"")</f>
        <v/>
      </c>
      <c r="N115" s="33">
        <f>IF(C115="Yes",COUNTIF($C$2:C115,"Yes"),"")</f>
        <v>98</v>
      </c>
      <c r="P115" s="37">
        <v>114</v>
      </c>
      <c r="Q115" s="32">
        <f t="shared" si="12"/>
        <v>45880</v>
      </c>
      <c r="R115" s="34">
        <f t="shared" si="13"/>
        <v>1843</v>
      </c>
      <c r="S115" s="35">
        <f t="shared" si="14"/>
        <v>33.1</v>
      </c>
      <c r="T115" s="34">
        <f t="shared" si="15"/>
        <v>14043</v>
      </c>
    </row>
    <row r="116" spans="1:20" x14ac:dyDescent="0.25">
      <c r="A116" s="32">
        <f>'Daily Energy'!A116</f>
        <v>45862</v>
      </c>
      <c r="B116" s="33" t="str">
        <f>'Daily Energy'!B116</f>
        <v>Thursday</v>
      </c>
      <c r="C116" s="33" t="str">
        <f>'Daily Energy'!C116</f>
        <v>Yes</v>
      </c>
      <c r="D116" s="34">
        <f>'Daily Energy'!D116</f>
        <v>1754</v>
      </c>
      <c r="E116" s="35">
        <f>'Daily Energy'!E116</f>
        <v>33.9</v>
      </c>
      <c r="F116" s="34">
        <f>'Daily Energy'!F116</f>
        <v>12926</v>
      </c>
      <c r="G116" s="34">
        <f>'Daily Energy'!G116</f>
        <v>456</v>
      </c>
      <c r="H116" s="34">
        <f t="shared" si="8"/>
        <v>13382</v>
      </c>
      <c r="I116" s="36">
        <f t="shared" si="9"/>
        <v>45839</v>
      </c>
      <c r="J116" s="34" t="str">
        <f t="shared" si="10"/>
        <v/>
      </c>
      <c r="K116" s="34">
        <f t="shared" si="11"/>
        <v>13382</v>
      </c>
      <c r="L116" s="33">
        <f>IF(AND(C116="No",H116&gt;'Analysis Summary'!$B$5),1,0)</f>
        <v>0</v>
      </c>
      <c r="M116" s="33" t="str">
        <f>IF(L116=1,SUM($L$2:L116),"")</f>
        <v/>
      </c>
      <c r="N116" s="33">
        <f>IF(C116="Yes",COUNTIF($C$2:C116,"Yes"),"")</f>
        <v>99</v>
      </c>
      <c r="P116" s="37">
        <v>115</v>
      </c>
      <c r="Q116" s="32">
        <f t="shared" si="12"/>
        <v>45881</v>
      </c>
      <c r="R116" s="34">
        <f t="shared" si="13"/>
        <v>1744</v>
      </c>
      <c r="S116" s="35">
        <f t="shared" si="14"/>
        <v>32.9</v>
      </c>
      <c r="T116" s="34">
        <f t="shared" si="15"/>
        <v>14021</v>
      </c>
    </row>
    <row r="117" spans="1:20" x14ac:dyDescent="0.25">
      <c r="A117" s="32">
        <f>'Daily Energy'!A117</f>
        <v>45863</v>
      </c>
      <c r="B117" s="33" t="str">
        <f>'Daily Energy'!B117</f>
        <v>Friday</v>
      </c>
      <c r="C117" s="33" t="str">
        <f>'Daily Energy'!C117</f>
        <v>Yes</v>
      </c>
      <c r="D117" s="34">
        <f>'Daily Energy'!D117</f>
        <v>1970</v>
      </c>
      <c r="E117" s="35">
        <f>'Daily Energy'!E117</f>
        <v>32.299999999999997</v>
      </c>
      <c r="F117" s="34">
        <f>'Daily Energy'!F117</f>
        <v>14439</v>
      </c>
      <c r="G117" s="34">
        <f>'Daily Energy'!G117</f>
        <v>833</v>
      </c>
      <c r="H117" s="34">
        <f t="shared" si="8"/>
        <v>15272</v>
      </c>
      <c r="I117" s="36">
        <f t="shared" si="9"/>
        <v>45839</v>
      </c>
      <c r="J117" s="34" t="str">
        <f t="shared" si="10"/>
        <v/>
      </c>
      <c r="K117" s="34">
        <f t="shared" si="11"/>
        <v>15272</v>
      </c>
      <c r="L117" s="33">
        <f>IF(AND(C117="No",H117&gt;'Analysis Summary'!$B$5),1,0)</f>
        <v>0</v>
      </c>
      <c r="M117" s="33" t="str">
        <f>IF(L117=1,SUM($L$2:L117),"")</f>
        <v/>
      </c>
      <c r="N117" s="33">
        <f>IF(C117="Yes",COUNTIF($C$2:C117,"Yes"),"")</f>
        <v>100</v>
      </c>
      <c r="P117" s="37">
        <v>116</v>
      </c>
      <c r="Q117" s="32">
        <f t="shared" si="12"/>
        <v>45882</v>
      </c>
      <c r="R117" s="34">
        <f t="shared" si="13"/>
        <v>1797</v>
      </c>
      <c r="S117" s="35">
        <f t="shared" si="14"/>
        <v>31.9</v>
      </c>
      <c r="T117" s="34">
        <f t="shared" si="15"/>
        <v>13637</v>
      </c>
    </row>
    <row r="118" spans="1:20" x14ac:dyDescent="0.25">
      <c r="A118" s="32">
        <f>'Daily Energy'!A118</f>
        <v>45864</v>
      </c>
      <c r="B118" s="33" t="str">
        <f>'Daily Energy'!B118</f>
        <v>Saturday</v>
      </c>
      <c r="C118" s="33" t="str">
        <f>'Daily Energy'!C118</f>
        <v>Yes</v>
      </c>
      <c r="D118" s="34">
        <f>'Daily Energy'!D118</f>
        <v>1698</v>
      </c>
      <c r="E118" s="35">
        <f>'Daily Energy'!E118</f>
        <v>30.9</v>
      </c>
      <c r="F118" s="34">
        <f>'Daily Energy'!F118</f>
        <v>12343</v>
      </c>
      <c r="G118" s="34">
        <f>'Daily Energy'!G118</f>
        <v>771</v>
      </c>
      <c r="H118" s="34">
        <f t="shared" si="8"/>
        <v>13114</v>
      </c>
      <c r="I118" s="36">
        <f t="shared" si="9"/>
        <v>45839</v>
      </c>
      <c r="J118" s="34" t="str">
        <f t="shared" si="10"/>
        <v/>
      </c>
      <c r="K118" s="34">
        <f t="shared" si="11"/>
        <v>13114</v>
      </c>
      <c r="L118" s="33">
        <f>IF(AND(C118="No",H118&gt;'Analysis Summary'!$B$5),1,0)</f>
        <v>0</v>
      </c>
      <c r="M118" s="33" t="str">
        <f>IF(L118=1,SUM($L$2:L118),"")</f>
        <v/>
      </c>
      <c r="N118" s="33">
        <f>IF(C118="Yes",COUNTIF($C$2:C118,"Yes"),"")</f>
        <v>101</v>
      </c>
      <c r="P118" s="37">
        <v>117</v>
      </c>
      <c r="Q118" s="32">
        <f t="shared" si="12"/>
        <v>45883</v>
      </c>
      <c r="R118" s="34">
        <f t="shared" si="13"/>
        <v>1864</v>
      </c>
      <c r="S118" s="35">
        <f t="shared" si="14"/>
        <v>33.700000000000003</v>
      </c>
      <c r="T118" s="34">
        <f t="shared" si="15"/>
        <v>14043</v>
      </c>
    </row>
    <row r="119" spans="1:20" x14ac:dyDescent="0.25">
      <c r="A119" s="32">
        <f>'Daily Energy'!A119</f>
        <v>45865</v>
      </c>
      <c r="B119" s="33" t="str">
        <f>'Daily Energy'!B119</f>
        <v>Sunday</v>
      </c>
      <c r="C119" s="33" t="str">
        <f>'Daily Energy'!C119</f>
        <v>No</v>
      </c>
      <c r="D119" s="34">
        <f>'Daily Energy'!D119</f>
        <v>0</v>
      </c>
      <c r="E119" s="35">
        <f>'Daily Energy'!E119</f>
        <v>31.9</v>
      </c>
      <c r="F119" s="34">
        <f>'Daily Energy'!F119</f>
        <v>3155</v>
      </c>
      <c r="G119" s="34">
        <f>'Daily Energy'!G119</f>
        <v>810</v>
      </c>
      <c r="H119" s="34">
        <f t="shared" si="8"/>
        <v>3965</v>
      </c>
      <c r="I119" s="36">
        <f t="shared" si="9"/>
        <v>45839</v>
      </c>
      <c r="J119" s="34">
        <f t="shared" si="10"/>
        <v>3965</v>
      </c>
      <c r="K119" s="34" t="str">
        <f t="shared" si="11"/>
        <v/>
      </c>
      <c r="L119" s="33">
        <f>IF(AND(C119="No",H119&gt;'Analysis Summary'!$B$5),1,0)</f>
        <v>0</v>
      </c>
      <c r="M119" s="33" t="str">
        <f>IF(L119=1,SUM($L$2:L119),"")</f>
        <v/>
      </c>
      <c r="N119" s="33" t="str">
        <f>IF(C119="Yes",COUNTIF($C$2:C119,"Yes"),"")</f>
        <v/>
      </c>
      <c r="P119" s="37">
        <v>118</v>
      </c>
      <c r="Q119" s="32">
        <f t="shared" si="12"/>
        <v>45884</v>
      </c>
      <c r="R119" s="34">
        <f t="shared" si="13"/>
        <v>2018</v>
      </c>
      <c r="S119" s="35">
        <f t="shared" si="14"/>
        <v>29.2</v>
      </c>
      <c r="T119" s="34">
        <f t="shared" si="15"/>
        <v>14236</v>
      </c>
    </row>
    <row r="120" spans="1:20" x14ac:dyDescent="0.25">
      <c r="A120" s="32">
        <f>'Daily Energy'!A120</f>
        <v>45866</v>
      </c>
      <c r="B120" s="33" t="str">
        <f>'Daily Energy'!B120</f>
        <v>Monday</v>
      </c>
      <c r="C120" s="33" t="str">
        <f>'Daily Energy'!C120</f>
        <v>Yes</v>
      </c>
      <c r="D120" s="34">
        <f>'Daily Energy'!D120</f>
        <v>1742</v>
      </c>
      <c r="E120" s="35">
        <f>'Daily Energy'!E120</f>
        <v>34.6</v>
      </c>
      <c r="F120" s="34">
        <f>'Daily Energy'!F120</f>
        <v>12790</v>
      </c>
      <c r="G120" s="34">
        <f>'Daily Energy'!G120</f>
        <v>423</v>
      </c>
      <c r="H120" s="34">
        <f t="shared" si="8"/>
        <v>13213</v>
      </c>
      <c r="I120" s="36">
        <f t="shared" si="9"/>
        <v>45839</v>
      </c>
      <c r="J120" s="34" t="str">
        <f t="shared" si="10"/>
        <v/>
      </c>
      <c r="K120" s="34">
        <f t="shared" si="11"/>
        <v>13213</v>
      </c>
      <c r="L120" s="33">
        <f>IF(AND(C120="No",H120&gt;'Analysis Summary'!$B$5),1,0)</f>
        <v>0</v>
      </c>
      <c r="M120" s="33" t="str">
        <f>IF(L120=1,SUM($L$2:L120),"")</f>
        <v/>
      </c>
      <c r="N120" s="33">
        <f>IF(C120="Yes",COUNTIF($C$2:C120,"Yes"),"")</f>
        <v>102</v>
      </c>
      <c r="P120" s="37">
        <v>119</v>
      </c>
      <c r="Q120" s="32">
        <f t="shared" si="12"/>
        <v>45885</v>
      </c>
      <c r="R120" s="34">
        <f t="shared" si="13"/>
        <v>2074</v>
      </c>
      <c r="S120" s="35">
        <f t="shared" si="14"/>
        <v>32.200000000000003</v>
      </c>
      <c r="T120" s="34">
        <f t="shared" si="15"/>
        <v>15592</v>
      </c>
    </row>
    <row r="121" spans="1:20" x14ac:dyDescent="0.25">
      <c r="A121" s="32">
        <f>'Daily Energy'!A121</f>
        <v>45867</v>
      </c>
      <c r="B121" s="33" t="str">
        <f>'Daily Energy'!B121</f>
        <v>Tuesday</v>
      </c>
      <c r="C121" s="33" t="str">
        <f>'Daily Energy'!C121</f>
        <v>Yes</v>
      </c>
      <c r="D121" s="34">
        <f>'Daily Energy'!D121</f>
        <v>1720</v>
      </c>
      <c r="E121" s="35">
        <f>'Daily Energy'!E121</f>
        <v>32.299999999999997</v>
      </c>
      <c r="F121" s="34">
        <f>'Daily Energy'!F121</f>
        <v>12225</v>
      </c>
      <c r="G121" s="34">
        <f>'Daily Energy'!G121</f>
        <v>673</v>
      </c>
      <c r="H121" s="34">
        <f t="shared" si="8"/>
        <v>12898</v>
      </c>
      <c r="I121" s="36">
        <f t="shared" si="9"/>
        <v>45839</v>
      </c>
      <c r="J121" s="34" t="str">
        <f t="shared" si="10"/>
        <v/>
      </c>
      <c r="K121" s="34">
        <f t="shared" si="11"/>
        <v>12898</v>
      </c>
      <c r="L121" s="33">
        <f>IF(AND(C121="No",H121&gt;'Analysis Summary'!$B$5),1,0)</f>
        <v>0</v>
      </c>
      <c r="M121" s="33" t="str">
        <f>IF(L121=1,SUM($L$2:L121),"")</f>
        <v/>
      </c>
      <c r="N121" s="33">
        <f>IF(C121="Yes",COUNTIF($C$2:C121,"Yes"),"")</f>
        <v>103</v>
      </c>
      <c r="P121" s="37">
        <v>120</v>
      </c>
      <c r="Q121" s="32">
        <f t="shared" si="12"/>
        <v>45887</v>
      </c>
      <c r="R121" s="34">
        <f t="shared" si="13"/>
        <v>1715</v>
      </c>
      <c r="S121" s="35">
        <f t="shared" si="14"/>
        <v>32.299999999999997</v>
      </c>
      <c r="T121" s="34">
        <f t="shared" si="15"/>
        <v>12412</v>
      </c>
    </row>
    <row r="122" spans="1:20" x14ac:dyDescent="0.25">
      <c r="A122" s="32">
        <f>'Daily Energy'!A122</f>
        <v>45868</v>
      </c>
      <c r="B122" s="33" t="str">
        <f>'Daily Energy'!B122</f>
        <v>Wednesday</v>
      </c>
      <c r="C122" s="33" t="str">
        <f>'Daily Energy'!C122</f>
        <v>Yes</v>
      </c>
      <c r="D122" s="34">
        <f>'Daily Energy'!D122</f>
        <v>1888</v>
      </c>
      <c r="E122" s="35">
        <f>'Daily Energy'!E122</f>
        <v>33.799999999999997</v>
      </c>
      <c r="F122" s="34">
        <f>'Daily Energy'!F122</f>
        <v>13511</v>
      </c>
      <c r="G122" s="34">
        <f>'Daily Energy'!G122</f>
        <v>683</v>
      </c>
      <c r="H122" s="34">
        <f t="shared" si="8"/>
        <v>14194</v>
      </c>
      <c r="I122" s="36">
        <f t="shared" si="9"/>
        <v>45839</v>
      </c>
      <c r="J122" s="34" t="str">
        <f t="shared" si="10"/>
        <v/>
      </c>
      <c r="K122" s="34">
        <f t="shared" si="11"/>
        <v>14194</v>
      </c>
      <c r="L122" s="33">
        <f>IF(AND(C122="No",H122&gt;'Analysis Summary'!$B$5),1,0)</f>
        <v>0</v>
      </c>
      <c r="M122" s="33" t="str">
        <f>IF(L122=1,SUM($L$2:L122),"")</f>
        <v/>
      </c>
      <c r="N122" s="33">
        <f>IF(C122="Yes",COUNTIF($C$2:C122,"Yes"),"")</f>
        <v>104</v>
      </c>
      <c r="P122" s="37">
        <v>121</v>
      </c>
      <c r="Q122" s="32">
        <f t="shared" si="12"/>
        <v>45888</v>
      </c>
      <c r="R122" s="34">
        <f t="shared" si="13"/>
        <v>1686</v>
      </c>
      <c r="S122" s="35">
        <f t="shared" si="14"/>
        <v>31.4</v>
      </c>
      <c r="T122" s="34">
        <f t="shared" si="15"/>
        <v>12398</v>
      </c>
    </row>
    <row r="123" spans="1:20" x14ac:dyDescent="0.25">
      <c r="A123" s="32">
        <f>'Daily Energy'!A123</f>
        <v>45869</v>
      </c>
      <c r="B123" s="33" t="str">
        <f>'Daily Energy'!B123</f>
        <v>Thursday</v>
      </c>
      <c r="C123" s="33" t="str">
        <f>'Daily Energy'!C123</f>
        <v>Yes</v>
      </c>
      <c r="D123" s="34">
        <f>'Daily Energy'!D123</f>
        <v>1668</v>
      </c>
      <c r="E123" s="35">
        <f>'Daily Energy'!E123</f>
        <v>35.200000000000003</v>
      </c>
      <c r="F123" s="34">
        <f>'Daily Energy'!F123</f>
        <v>13188</v>
      </c>
      <c r="G123" s="34">
        <f>'Daily Energy'!G123</f>
        <v>744</v>
      </c>
      <c r="H123" s="34">
        <f t="shared" si="8"/>
        <v>13932</v>
      </c>
      <c r="I123" s="36">
        <f t="shared" si="9"/>
        <v>45839</v>
      </c>
      <c r="J123" s="34" t="str">
        <f t="shared" si="10"/>
        <v/>
      </c>
      <c r="K123" s="34">
        <f t="shared" si="11"/>
        <v>13932</v>
      </c>
      <c r="L123" s="33">
        <f>IF(AND(C123="No",H123&gt;'Analysis Summary'!$B$5),1,0)</f>
        <v>0</v>
      </c>
      <c r="M123" s="33" t="str">
        <f>IF(L123=1,SUM($L$2:L123),"")</f>
        <v/>
      </c>
      <c r="N123" s="33">
        <f>IF(C123="Yes",COUNTIF($C$2:C123,"Yes"),"")</f>
        <v>105</v>
      </c>
      <c r="P123" s="37">
        <v>122</v>
      </c>
      <c r="Q123" s="32">
        <f t="shared" si="12"/>
        <v>45889</v>
      </c>
      <c r="R123" s="34">
        <f t="shared" si="13"/>
        <v>1911</v>
      </c>
      <c r="S123" s="35">
        <f t="shared" si="14"/>
        <v>33.200000000000003</v>
      </c>
      <c r="T123" s="34">
        <f t="shared" si="15"/>
        <v>14344</v>
      </c>
    </row>
    <row r="124" spans="1:20" x14ac:dyDescent="0.25">
      <c r="A124" s="32">
        <f>'Daily Energy'!A124</f>
        <v>45870</v>
      </c>
      <c r="B124" s="33" t="str">
        <f>'Daily Energy'!B124</f>
        <v>Friday</v>
      </c>
      <c r="C124" s="33" t="str">
        <f>'Daily Energy'!C124</f>
        <v>Yes</v>
      </c>
      <c r="D124" s="34">
        <f>'Daily Energy'!D124</f>
        <v>1637</v>
      </c>
      <c r="E124" s="35">
        <f>'Daily Energy'!E124</f>
        <v>31.4</v>
      </c>
      <c r="F124" s="34">
        <f>'Daily Energy'!F124</f>
        <v>11986</v>
      </c>
      <c r="G124" s="34">
        <f>'Daily Energy'!G124</f>
        <v>883</v>
      </c>
      <c r="H124" s="34">
        <f t="shared" si="8"/>
        <v>12869</v>
      </c>
      <c r="I124" s="36">
        <f t="shared" si="9"/>
        <v>45870</v>
      </c>
      <c r="J124" s="34" t="str">
        <f t="shared" si="10"/>
        <v/>
      </c>
      <c r="K124" s="34">
        <f t="shared" si="11"/>
        <v>12869</v>
      </c>
      <c r="L124" s="33">
        <f>IF(AND(C124="No",H124&gt;'Analysis Summary'!$B$5),1,0)</f>
        <v>0</v>
      </c>
      <c r="M124" s="33" t="str">
        <f>IF(L124=1,SUM($L$2:L124),"")</f>
        <v/>
      </c>
      <c r="N124" s="33">
        <f>IF(C124="Yes",COUNTIF($C$2:C124,"Yes"),"")</f>
        <v>106</v>
      </c>
      <c r="P124" s="37">
        <v>123</v>
      </c>
      <c r="Q124" s="32">
        <f t="shared" si="12"/>
        <v>45890</v>
      </c>
      <c r="R124" s="34">
        <f t="shared" si="13"/>
        <v>1805</v>
      </c>
      <c r="S124" s="35">
        <f t="shared" si="14"/>
        <v>33.4</v>
      </c>
      <c r="T124" s="34">
        <f t="shared" si="15"/>
        <v>14229</v>
      </c>
    </row>
    <row r="125" spans="1:20" x14ac:dyDescent="0.25">
      <c r="A125" s="32">
        <f>'Daily Energy'!A125</f>
        <v>45871</v>
      </c>
      <c r="B125" s="33" t="str">
        <f>'Daily Energy'!B125</f>
        <v>Saturday</v>
      </c>
      <c r="C125" s="33" t="str">
        <f>'Daily Energy'!C125</f>
        <v>Yes</v>
      </c>
      <c r="D125" s="34">
        <f>'Daily Energy'!D125</f>
        <v>2127</v>
      </c>
      <c r="E125" s="35">
        <f>'Daily Energy'!E125</f>
        <v>33.799999999999997</v>
      </c>
      <c r="F125" s="34">
        <f>'Daily Energy'!F125</f>
        <v>14911</v>
      </c>
      <c r="G125" s="34">
        <f>'Daily Energy'!G125</f>
        <v>796</v>
      </c>
      <c r="H125" s="34">
        <f t="shared" si="8"/>
        <v>15707</v>
      </c>
      <c r="I125" s="36">
        <f t="shared" si="9"/>
        <v>45870</v>
      </c>
      <c r="J125" s="34" t="str">
        <f t="shared" si="10"/>
        <v/>
      </c>
      <c r="K125" s="34">
        <f t="shared" si="11"/>
        <v>15707</v>
      </c>
      <c r="L125" s="33">
        <f>IF(AND(C125="No",H125&gt;'Analysis Summary'!$B$5),1,0)</f>
        <v>0</v>
      </c>
      <c r="M125" s="33" t="str">
        <f>IF(L125=1,SUM($L$2:L125),"")</f>
        <v/>
      </c>
      <c r="N125" s="33">
        <f>IF(C125="Yes",COUNTIF($C$2:C125,"Yes"),"")</f>
        <v>107</v>
      </c>
      <c r="P125" s="37">
        <v>124</v>
      </c>
      <c r="Q125" s="32">
        <f t="shared" si="12"/>
        <v>45891</v>
      </c>
      <c r="R125" s="34">
        <f t="shared" si="13"/>
        <v>1659</v>
      </c>
      <c r="S125" s="35">
        <f t="shared" si="14"/>
        <v>31.3</v>
      </c>
      <c r="T125" s="34">
        <f t="shared" si="15"/>
        <v>12861</v>
      </c>
    </row>
    <row r="126" spans="1:20" x14ac:dyDescent="0.25">
      <c r="A126" s="32">
        <f>'Daily Energy'!A126</f>
        <v>45872</v>
      </c>
      <c r="B126" s="33" t="str">
        <f>'Daily Energy'!B126</f>
        <v>Sunday</v>
      </c>
      <c r="C126" s="33" t="str">
        <f>'Daily Energy'!C126</f>
        <v>No</v>
      </c>
      <c r="D126" s="34">
        <f>'Daily Energy'!D126</f>
        <v>0</v>
      </c>
      <c r="E126" s="35">
        <f>'Daily Energy'!E126</f>
        <v>31.1</v>
      </c>
      <c r="F126" s="34">
        <f>'Daily Energy'!F126</f>
        <v>3313</v>
      </c>
      <c r="G126" s="34">
        <f>'Daily Energy'!G126</f>
        <v>486</v>
      </c>
      <c r="H126" s="34">
        <f t="shared" si="8"/>
        <v>3799</v>
      </c>
      <c r="I126" s="36">
        <f t="shared" si="9"/>
        <v>45870</v>
      </c>
      <c r="J126" s="34">
        <f t="shared" si="10"/>
        <v>3799</v>
      </c>
      <c r="K126" s="34" t="str">
        <f t="shared" si="11"/>
        <v/>
      </c>
      <c r="L126" s="33">
        <f>IF(AND(C126="No",H126&gt;'Analysis Summary'!$B$5),1,0)</f>
        <v>0</v>
      </c>
      <c r="M126" s="33" t="str">
        <f>IF(L126=1,SUM($L$2:L126),"")</f>
        <v/>
      </c>
      <c r="N126" s="33" t="str">
        <f>IF(C126="Yes",COUNTIF($C$2:C126,"Yes"),"")</f>
        <v/>
      </c>
      <c r="P126" s="37">
        <v>125</v>
      </c>
      <c r="Q126" s="32">
        <f t="shared" si="12"/>
        <v>45892</v>
      </c>
      <c r="R126" s="34">
        <f t="shared" si="13"/>
        <v>2190</v>
      </c>
      <c r="S126" s="35">
        <f t="shared" si="14"/>
        <v>34.299999999999997</v>
      </c>
      <c r="T126" s="34">
        <f t="shared" si="15"/>
        <v>16356</v>
      </c>
    </row>
    <row r="127" spans="1:20" x14ac:dyDescent="0.25">
      <c r="A127" s="32">
        <f>'Daily Energy'!A127</f>
        <v>45873</v>
      </c>
      <c r="B127" s="33" t="str">
        <f>'Daily Energy'!B127</f>
        <v>Monday</v>
      </c>
      <c r="C127" s="33" t="str">
        <f>'Daily Energy'!C127</f>
        <v>Yes</v>
      </c>
      <c r="D127" s="34">
        <f>'Daily Energy'!D127</f>
        <v>2001</v>
      </c>
      <c r="E127" s="35">
        <f>'Daily Energy'!E127</f>
        <v>33.4</v>
      </c>
      <c r="F127" s="34">
        <f>'Daily Energy'!F127</f>
        <v>14089</v>
      </c>
      <c r="G127" s="34">
        <f>'Daily Energy'!G127</f>
        <v>1032</v>
      </c>
      <c r="H127" s="34">
        <f t="shared" si="8"/>
        <v>15121</v>
      </c>
      <c r="I127" s="36">
        <f t="shared" si="9"/>
        <v>45870</v>
      </c>
      <c r="J127" s="34" t="str">
        <f t="shared" si="10"/>
        <v/>
      </c>
      <c r="K127" s="34">
        <f t="shared" si="11"/>
        <v>15121</v>
      </c>
      <c r="L127" s="33">
        <f>IF(AND(C127="No",H127&gt;'Analysis Summary'!$B$5),1,0)</f>
        <v>0</v>
      </c>
      <c r="M127" s="33" t="str">
        <f>IF(L127=1,SUM($L$2:L127),"")</f>
        <v/>
      </c>
      <c r="N127" s="33">
        <f>IF(C127="Yes",COUNTIF($C$2:C127,"Yes"),"")</f>
        <v>108</v>
      </c>
      <c r="P127" s="37">
        <v>126</v>
      </c>
      <c r="Q127" s="32">
        <f t="shared" si="12"/>
        <v>45894</v>
      </c>
      <c r="R127" s="34">
        <f t="shared" si="13"/>
        <v>2018</v>
      </c>
      <c r="S127" s="35">
        <f t="shared" si="14"/>
        <v>33</v>
      </c>
      <c r="T127" s="34">
        <f t="shared" si="15"/>
        <v>14881</v>
      </c>
    </row>
    <row r="128" spans="1:20" x14ac:dyDescent="0.25">
      <c r="A128" s="32">
        <f>'Daily Energy'!A128</f>
        <v>45874</v>
      </c>
      <c r="B128" s="33" t="str">
        <f>'Daily Energy'!B128</f>
        <v>Tuesday</v>
      </c>
      <c r="C128" s="33" t="str">
        <f>'Daily Energy'!C128</f>
        <v>Yes</v>
      </c>
      <c r="D128" s="34">
        <f>'Daily Energy'!D128</f>
        <v>1797</v>
      </c>
      <c r="E128" s="35">
        <f>'Daily Energy'!E128</f>
        <v>33.9</v>
      </c>
      <c r="F128" s="34">
        <f>'Daily Energy'!F128</f>
        <v>13439</v>
      </c>
      <c r="G128" s="34">
        <f>'Daily Energy'!G128</f>
        <v>624</v>
      </c>
      <c r="H128" s="34">
        <f t="shared" si="8"/>
        <v>14063</v>
      </c>
      <c r="I128" s="36">
        <f t="shared" si="9"/>
        <v>45870</v>
      </c>
      <c r="J128" s="34" t="str">
        <f t="shared" si="10"/>
        <v/>
      </c>
      <c r="K128" s="34">
        <f t="shared" si="11"/>
        <v>14063</v>
      </c>
      <c r="L128" s="33">
        <f>IF(AND(C128="No",H128&gt;'Analysis Summary'!$B$5),1,0)</f>
        <v>0</v>
      </c>
      <c r="M128" s="33" t="str">
        <f>IF(L128=1,SUM($L$2:L128),"")</f>
        <v/>
      </c>
      <c r="N128" s="33">
        <f>IF(C128="Yes",COUNTIF($C$2:C128,"Yes"),"")</f>
        <v>109</v>
      </c>
      <c r="P128" s="37">
        <v>127</v>
      </c>
      <c r="Q128" s="32">
        <f t="shared" si="12"/>
        <v>45895</v>
      </c>
      <c r="R128" s="34">
        <f t="shared" si="13"/>
        <v>1675</v>
      </c>
      <c r="S128" s="35">
        <f t="shared" si="14"/>
        <v>28.4</v>
      </c>
      <c r="T128" s="34">
        <f t="shared" si="15"/>
        <v>12445</v>
      </c>
    </row>
    <row r="129" spans="1:20" x14ac:dyDescent="0.25">
      <c r="A129" s="32">
        <f>'Daily Energy'!A129</f>
        <v>45875</v>
      </c>
      <c r="B129" s="33" t="str">
        <f>'Daily Energy'!B129</f>
        <v>Wednesday</v>
      </c>
      <c r="C129" s="33" t="str">
        <f>'Daily Energy'!C129</f>
        <v>Yes</v>
      </c>
      <c r="D129" s="34">
        <f>'Daily Energy'!D129</f>
        <v>1829</v>
      </c>
      <c r="E129" s="35">
        <f>'Daily Energy'!E129</f>
        <v>31.9</v>
      </c>
      <c r="F129" s="34">
        <f>'Daily Energy'!F129</f>
        <v>13597</v>
      </c>
      <c r="G129" s="34">
        <f>'Daily Energy'!G129</f>
        <v>475</v>
      </c>
      <c r="H129" s="34">
        <f t="shared" si="8"/>
        <v>14072</v>
      </c>
      <c r="I129" s="36">
        <f t="shared" si="9"/>
        <v>45870</v>
      </c>
      <c r="J129" s="34" t="str">
        <f t="shared" si="10"/>
        <v/>
      </c>
      <c r="K129" s="34">
        <f t="shared" si="11"/>
        <v>14072</v>
      </c>
      <c r="L129" s="33">
        <f>IF(AND(C129="No",H129&gt;'Analysis Summary'!$B$5),1,0)</f>
        <v>0</v>
      </c>
      <c r="M129" s="33" t="str">
        <f>IF(L129=1,SUM($L$2:L129),"")</f>
        <v/>
      </c>
      <c r="N129" s="33">
        <f>IF(C129="Yes",COUNTIF($C$2:C129,"Yes"),"")</f>
        <v>110</v>
      </c>
      <c r="P129" s="37">
        <v>128</v>
      </c>
      <c r="Q129" s="32">
        <f t="shared" si="12"/>
        <v>45896</v>
      </c>
      <c r="R129" s="34">
        <f t="shared" si="13"/>
        <v>1642</v>
      </c>
      <c r="S129" s="35">
        <f t="shared" si="14"/>
        <v>32.200000000000003</v>
      </c>
      <c r="T129" s="34">
        <f t="shared" si="15"/>
        <v>12500</v>
      </c>
    </row>
    <row r="130" spans="1:20" x14ac:dyDescent="0.25">
      <c r="A130" s="32">
        <f>'Daily Energy'!A130</f>
        <v>45876</v>
      </c>
      <c r="B130" s="33" t="str">
        <f>'Daily Energy'!B130</f>
        <v>Thursday</v>
      </c>
      <c r="C130" s="33" t="str">
        <f>'Daily Energy'!C130</f>
        <v>Yes</v>
      </c>
      <c r="D130" s="34">
        <f>'Daily Energy'!D130</f>
        <v>1673</v>
      </c>
      <c r="E130" s="35">
        <f>'Daily Energy'!E130</f>
        <v>32.200000000000003</v>
      </c>
      <c r="F130" s="34">
        <f>'Daily Energy'!F130</f>
        <v>12802</v>
      </c>
      <c r="G130" s="34">
        <f>'Daily Energy'!G130</f>
        <v>442</v>
      </c>
      <c r="H130" s="34">
        <f t="shared" ref="H130:H193" si="16">F130+G130</f>
        <v>13244</v>
      </c>
      <c r="I130" s="36">
        <f t="shared" ref="I130:I193" si="17">DATE(YEAR(A130),MONTH(A130),1)</f>
        <v>45870</v>
      </c>
      <c r="J130" s="34" t="str">
        <f t="shared" ref="J130:J193" si="18">IF(C130="No",H130,"")</f>
        <v/>
      </c>
      <c r="K130" s="34">
        <f t="shared" ref="K130:K193" si="19">IF(C130="Yes",H130,"")</f>
        <v>13244</v>
      </c>
      <c r="L130" s="33">
        <f>IF(AND(C130="No",H130&gt;'Analysis Summary'!$B$5),1,0)</f>
        <v>0</v>
      </c>
      <c r="M130" s="33" t="str">
        <f>IF(L130=1,SUM($L$2:L130),"")</f>
        <v/>
      </c>
      <c r="N130" s="33">
        <f>IF(C130="Yes",COUNTIF($C$2:C130,"Yes"),"")</f>
        <v>111</v>
      </c>
      <c r="P130" s="37">
        <v>129</v>
      </c>
      <c r="Q130" s="32">
        <f t="shared" ref="Q130:Q193" si="20">INDEX($A$2:$A$366,MATCH($P130,$N$2:$N$366,0))</f>
        <v>45897</v>
      </c>
      <c r="R130" s="34">
        <f t="shared" ref="R130:R193" si="21">INDEX($D$2:$D$366,MATCH($P130,$N$2:$N$366,0))</f>
        <v>1842</v>
      </c>
      <c r="S130" s="35">
        <f t="shared" ref="S130:S193" si="22">INDEX($E$2:$E$366,MATCH($P130,$N$2:$N$366,0))</f>
        <v>32.200000000000003</v>
      </c>
      <c r="T130" s="34">
        <f t="shared" ref="T130:T193" si="23">INDEX($H$2:$H$366,MATCH($P130,$N$2:$N$366,0))</f>
        <v>13820</v>
      </c>
    </row>
    <row r="131" spans="1:20" x14ac:dyDescent="0.25">
      <c r="A131" s="32">
        <f>'Daily Energy'!A131</f>
        <v>45877</v>
      </c>
      <c r="B131" s="33" t="str">
        <f>'Daily Energy'!B131</f>
        <v>Friday</v>
      </c>
      <c r="C131" s="33" t="str">
        <f>'Daily Energy'!C131</f>
        <v>Yes</v>
      </c>
      <c r="D131" s="34">
        <f>'Daily Energy'!D131</f>
        <v>1862</v>
      </c>
      <c r="E131" s="35">
        <f>'Daily Energy'!E131</f>
        <v>32.4</v>
      </c>
      <c r="F131" s="34">
        <f>'Daily Energy'!F131</f>
        <v>13248</v>
      </c>
      <c r="G131" s="34">
        <f>'Daily Energy'!G131</f>
        <v>459</v>
      </c>
      <c r="H131" s="34">
        <f t="shared" si="16"/>
        <v>13707</v>
      </c>
      <c r="I131" s="36">
        <f t="shared" si="17"/>
        <v>45870</v>
      </c>
      <c r="J131" s="34" t="str">
        <f t="shared" si="18"/>
        <v/>
      </c>
      <c r="K131" s="34">
        <f t="shared" si="19"/>
        <v>13707</v>
      </c>
      <c r="L131" s="33">
        <f>IF(AND(C131="No",H131&gt;'Analysis Summary'!$B$5),1,0)</f>
        <v>0</v>
      </c>
      <c r="M131" s="33" t="str">
        <f>IF(L131=1,SUM($L$2:L131),"")</f>
        <v/>
      </c>
      <c r="N131" s="33">
        <f>IF(C131="Yes",COUNTIF($C$2:C131,"Yes"),"")</f>
        <v>112</v>
      </c>
      <c r="P131" s="37">
        <v>130</v>
      </c>
      <c r="Q131" s="32">
        <f t="shared" si="20"/>
        <v>45898</v>
      </c>
      <c r="R131" s="34">
        <f t="shared" si="21"/>
        <v>1888</v>
      </c>
      <c r="S131" s="35">
        <f t="shared" si="22"/>
        <v>30.7</v>
      </c>
      <c r="T131" s="34">
        <f t="shared" si="23"/>
        <v>13291</v>
      </c>
    </row>
    <row r="132" spans="1:20" x14ac:dyDescent="0.25">
      <c r="A132" s="32">
        <f>'Daily Energy'!A132</f>
        <v>45878</v>
      </c>
      <c r="B132" s="33" t="str">
        <f>'Daily Energy'!B132</f>
        <v>Saturday</v>
      </c>
      <c r="C132" s="33" t="str">
        <f>'Daily Energy'!C132</f>
        <v>Yes</v>
      </c>
      <c r="D132" s="34">
        <f>'Daily Energy'!D132</f>
        <v>1705</v>
      </c>
      <c r="E132" s="35">
        <f>'Daily Energy'!E132</f>
        <v>31.1</v>
      </c>
      <c r="F132" s="34">
        <f>'Daily Energy'!F132</f>
        <v>12226</v>
      </c>
      <c r="G132" s="34">
        <f>'Daily Energy'!G132</f>
        <v>1288</v>
      </c>
      <c r="H132" s="34">
        <f t="shared" si="16"/>
        <v>13514</v>
      </c>
      <c r="I132" s="36">
        <f t="shared" si="17"/>
        <v>45870</v>
      </c>
      <c r="J132" s="34" t="str">
        <f t="shared" si="18"/>
        <v/>
      </c>
      <c r="K132" s="34">
        <f t="shared" si="19"/>
        <v>13514</v>
      </c>
      <c r="L132" s="33">
        <f>IF(AND(C132="No",H132&gt;'Analysis Summary'!$B$5),1,0)</f>
        <v>0</v>
      </c>
      <c r="M132" s="33" t="str">
        <f>IF(L132=1,SUM($L$2:L132),"")</f>
        <v/>
      </c>
      <c r="N132" s="33">
        <f>IF(C132="Yes",COUNTIF($C$2:C132,"Yes"),"")</f>
        <v>113</v>
      </c>
      <c r="P132" s="37">
        <v>131</v>
      </c>
      <c r="Q132" s="32">
        <f t="shared" si="20"/>
        <v>45899</v>
      </c>
      <c r="R132" s="34">
        <f t="shared" si="21"/>
        <v>1566</v>
      </c>
      <c r="S132" s="35">
        <f t="shared" si="22"/>
        <v>31.3</v>
      </c>
      <c r="T132" s="34">
        <f t="shared" si="23"/>
        <v>12977</v>
      </c>
    </row>
    <row r="133" spans="1:20" x14ac:dyDescent="0.25">
      <c r="A133" s="32">
        <f>'Daily Energy'!A133</f>
        <v>45879</v>
      </c>
      <c r="B133" s="33" t="str">
        <f>'Daily Energy'!B133</f>
        <v>Sunday</v>
      </c>
      <c r="C133" s="33" t="str">
        <f>'Daily Energy'!C133</f>
        <v>No</v>
      </c>
      <c r="D133" s="34">
        <f>'Daily Energy'!D133</f>
        <v>0</v>
      </c>
      <c r="E133" s="35">
        <f>'Daily Energy'!E133</f>
        <v>34.1</v>
      </c>
      <c r="F133" s="34">
        <f>'Daily Energy'!F133</f>
        <v>4089</v>
      </c>
      <c r="G133" s="34">
        <f>'Daily Energy'!G133</f>
        <v>226</v>
      </c>
      <c r="H133" s="34">
        <f t="shared" si="16"/>
        <v>4315</v>
      </c>
      <c r="I133" s="36">
        <f t="shared" si="17"/>
        <v>45870</v>
      </c>
      <c r="J133" s="34">
        <f t="shared" si="18"/>
        <v>4315</v>
      </c>
      <c r="K133" s="34" t="str">
        <f t="shared" si="19"/>
        <v/>
      </c>
      <c r="L133" s="33">
        <f>IF(AND(C133="No",H133&gt;'Analysis Summary'!$B$5),1,0)</f>
        <v>0</v>
      </c>
      <c r="M133" s="33" t="str">
        <f>IF(L133=1,SUM($L$2:L133),"")</f>
        <v/>
      </c>
      <c r="N133" s="33" t="str">
        <f>IF(C133="Yes",COUNTIF($C$2:C133,"Yes"),"")</f>
        <v/>
      </c>
      <c r="P133" s="37">
        <v>132</v>
      </c>
      <c r="Q133" s="32">
        <f t="shared" si="20"/>
        <v>45901</v>
      </c>
      <c r="R133" s="34">
        <f t="shared" si="21"/>
        <v>1981</v>
      </c>
      <c r="S133" s="35">
        <f t="shared" si="22"/>
        <v>34.4</v>
      </c>
      <c r="T133" s="34">
        <f t="shared" si="23"/>
        <v>15427</v>
      </c>
    </row>
    <row r="134" spans="1:20" x14ac:dyDescent="0.25">
      <c r="A134" s="32">
        <f>'Daily Energy'!A134</f>
        <v>45880</v>
      </c>
      <c r="B134" s="33" t="str">
        <f>'Daily Energy'!B134</f>
        <v>Monday</v>
      </c>
      <c r="C134" s="33" t="str">
        <f>'Daily Energy'!C134</f>
        <v>Yes</v>
      </c>
      <c r="D134" s="34">
        <f>'Daily Energy'!D134</f>
        <v>1843</v>
      </c>
      <c r="E134" s="35">
        <f>'Daily Energy'!E134</f>
        <v>33.1</v>
      </c>
      <c r="F134" s="34">
        <f>'Daily Energy'!F134</f>
        <v>13156</v>
      </c>
      <c r="G134" s="34">
        <f>'Daily Energy'!G134</f>
        <v>887</v>
      </c>
      <c r="H134" s="34">
        <f t="shared" si="16"/>
        <v>14043</v>
      </c>
      <c r="I134" s="36">
        <f t="shared" si="17"/>
        <v>45870</v>
      </c>
      <c r="J134" s="34" t="str">
        <f t="shared" si="18"/>
        <v/>
      </c>
      <c r="K134" s="34">
        <f t="shared" si="19"/>
        <v>14043</v>
      </c>
      <c r="L134" s="33">
        <f>IF(AND(C134="No",H134&gt;'Analysis Summary'!$B$5),1,0)</f>
        <v>0</v>
      </c>
      <c r="M134" s="33" t="str">
        <f>IF(L134=1,SUM($L$2:L134),"")</f>
        <v/>
      </c>
      <c r="N134" s="33">
        <f>IF(C134="Yes",COUNTIF($C$2:C134,"Yes"),"")</f>
        <v>114</v>
      </c>
      <c r="P134" s="37">
        <v>133</v>
      </c>
      <c r="Q134" s="32">
        <f t="shared" si="20"/>
        <v>45902</v>
      </c>
      <c r="R134" s="34">
        <f t="shared" si="21"/>
        <v>1714</v>
      </c>
      <c r="S134" s="35">
        <f t="shared" si="22"/>
        <v>32</v>
      </c>
      <c r="T134" s="34">
        <f t="shared" si="23"/>
        <v>13532</v>
      </c>
    </row>
    <row r="135" spans="1:20" x14ac:dyDescent="0.25">
      <c r="A135" s="32">
        <f>'Daily Energy'!A135</f>
        <v>45881</v>
      </c>
      <c r="B135" s="33" t="str">
        <f>'Daily Energy'!B135</f>
        <v>Tuesday</v>
      </c>
      <c r="C135" s="33" t="str">
        <f>'Daily Energy'!C135</f>
        <v>Yes</v>
      </c>
      <c r="D135" s="34">
        <f>'Daily Energy'!D135</f>
        <v>1744</v>
      </c>
      <c r="E135" s="35">
        <f>'Daily Energy'!E135</f>
        <v>32.9</v>
      </c>
      <c r="F135" s="34">
        <f>'Daily Energy'!F135</f>
        <v>13037</v>
      </c>
      <c r="G135" s="34">
        <f>'Daily Energy'!G135</f>
        <v>984</v>
      </c>
      <c r="H135" s="34">
        <f t="shared" si="16"/>
        <v>14021</v>
      </c>
      <c r="I135" s="36">
        <f t="shared" si="17"/>
        <v>45870</v>
      </c>
      <c r="J135" s="34" t="str">
        <f t="shared" si="18"/>
        <v/>
      </c>
      <c r="K135" s="34">
        <f t="shared" si="19"/>
        <v>14021</v>
      </c>
      <c r="L135" s="33">
        <f>IF(AND(C135="No",H135&gt;'Analysis Summary'!$B$5),1,0)</f>
        <v>0</v>
      </c>
      <c r="M135" s="33" t="str">
        <f>IF(L135=1,SUM($L$2:L135),"")</f>
        <v/>
      </c>
      <c r="N135" s="33">
        <f>IF(C135="Yes",COUNTIF($C$2:C135,"Yes"),"")</f>
        <v>115</v>
      </c>
      <c r="P135" s="37">
        <v>134</v>
      </c>
      <c r="Q135" s="32">
        <f t="shared" si="20"/>
        <v>45903</v>
      </c>
      <c r="R135" s="34">
        <f t="shared" si="21"/>
        <v>1714</v>
      </c>
      <c r="S135" s="35">
        <f t="shared" si="22"/>
        <v>28.5</v>
      </c>
      <c r="T135" s="34">
        <f t="shared" si="23"/>
        <v>11824</v>
      </c>
    </row>
    <row r="136" spans="1:20" x14ac:dyDescent="0.25">
      <c r="A136" s="32">
        <f>'Daily Energy'!A136</f>
        <v>45882</v>
      </c>
      <c r="B136" s="33" t="str">
        <f>'Daily Energy'!B136</f>
        <v>Wednesday</v>
      </c>
      <c r="C136" s="33" t="str">
        <f>'Daily Energy'!C136</f>
        <v>Yes</v>
      </c>
      <c r="D136" s="34">
        <f>'Daily Energy'!D136</f>
        <v>1797</v>
      </c>
      <c r="E136" s="35">
        <f>'Daily Energy'!E136</f>
        <v>31.9</v>
      </c>
      <c r="F136" s="34">
        <f>'Daily Energy'!F136</f>
        <v>12830</v>
      </c>
      <c r="G136" s="34">
        <f>'Daily Energy'!G136</f>
        <v>807</v>
      </c>
      <c r="H136" s="34">
        <f t="shared" si="16"/>
        <v>13637</v>
      </c>
      <c r="I136" s="36">
        <f t="shared" si="17"/>
        <v>45870</v>
      </c>
      <c r="J136" s="34" t="str">
        <f t="shared" si="18"/>
        <v/>
      </c>
      <c r="K136" s="34">
        <f t="shared" si="19"/>
        <v>13637</v>
      </c>
      <c r="L136" s="33">
        <f>IF(AND(C136="No",H136&gt;'Analysis Summary'!$B$5),1,0)</f>
        <v>0</v>
      </c>
      <c r="M136" s="33" t="str">
        <f>IF(L136=1,SUM($L$2:L136),"")</f>
        <v/>
      </c>
      <c r="N136" s="33">
        <f>IF(C136="Yes",COUNTIF($C$2:C136,"Yes"),"")</f>
        <v>116</v>
      </c>
      <c r="P136" s="37">
        <v>135</v>
      </c>
      <c r="Q136" s="32">
        <f t="shared" si="20"/>
        <v>45904</v>
      </c>
      <c r="R136" s="34">
        <f t="shared" si="21"/>
        <v>2032</v>
      </c>
      <c r="S136" s="35">
        <f t="shared" si="22"/>
        <v>31.7</v>
      </c>
      <c r="T136" s="34">
        <f t="shared" si="23"/>
        <v>15511</v>
      </c>
    </row>
    <row r="137" spans="1:20" x14ac:dyDescent="0.25">
      <c r="A137" s="32">
        <f>'Daily Energy'!A137</f>
        <v>45883</v>
      </c>
      <c r="B137" s="33" t="str">
        <f>'Daily Energy'!B137</f>
        <v>Thursday</v>
      </c>
      <c r="C137" s="33" t="str">
        <f>'Daily Energy'!C137</f>
        <v>Yes</v>
      </c>
      <c r="D137" s="34">
        <f>'Daily Energy'!D137</f>
        <v>1864</v>
      </c>
      <c r="E137" s="35">
        <f>'Daily Energy'!E137</f>
        <v>33.700000000000003</v>
      </c>
      <c r="F137" s="34">
        <f>'Daily Energy'!F137</f>
        <v>13224</v>
      </c>
      <c r="G137" s="34">
        <f>'Daily Energy'!G137</f>
        <v>819</v>
      </c>
      <c r="H137" s="34">
        <f t="shared" si="16"/>
        <v>14043</v>
      </c>
      <c r="I137" s="36">
        <f t="shared" si="17"/>
        <v>45870</v>
      </c>
      <c r="J137" s="34" t="str">
        <f t="shared" si="18"/>
        <v/>
      </c>
      <c r="K137" s="34">
        <f t="shared" si="19"/>
        <v>14043</v>
      </c>
      <c r="L137" s="33">
        <f>IF(AND(C137="No",H137&gt;'Analysis Summary'!$B$5),1,0)</f>
        <v>0</v>
      </c>
      <c r="M137" s="33" t="str">
        <f>IF(L137=1,SUM($L$2:L137),"")</f>
        <v/>
      </c>
      <c r="N137" s="33">
        <f>IF(C137="Yes",COUNTIF($C$2:C137,"Yes"),"")</f>
        <v>117</v>
      </c>
      <c r="P137" s="37">
        <v>136</v>
      </c>
      <c r="Q137" s="32">
        <f t="shared" si="20"/>
        <v>45905</v>
      </c>
      <c r="R137" s="34">
        <f t="shared" si="21"/>
        <v>1685</v>
      </c>
      <c r="S137" s="35">
        <f t="shared" si="22"/>
        <v>34</v>
      </c>
      <c r="T137" s="34">
        <f t="shared" si="23"/>
        <v>13425</v>
      </c>
    </row>
    <row r="138" spans="1:20" x14ac:dyDescent="0.25">
      <c r="A138" s="32">
        <f>'Daily Energy'!A138</f>
        <v>45884</v>
      </c>
      <c r="B138" s="33" t="str">
        <f>'Daily Energy'!B138</f>
        <v>Friday</v>
      </c>
      <c r="C138" s="33" t="str">
        <f>'Daily Energy'!C138</f>
        <v>Yes</v>
      </c>
      <c r="D138" s="34">
        <f>'Daily Energy'!D138</f>
        <v>2018</v>
      </c>
      <c r="E138" s="35">
        <f>'Daily Energy'!E138</f>
        <v>29.2</v>
      </c>
      <c r="F138" s="34">
        <f>'Daily Energy'!F138</f>
        <v>13407</v>
      </c>
      <c r="G138" s="34">
        <f>'Daily Energy'!G138</f>
        <v>829</v>
      </c>
      <c r="H138" s="34">
        <f t="shared" si="16"/>
        <v>14236</v>
      </c>
      <c r="I138" s="36">
        <f t="shared" si="17"/>
        <v>45870</v>
      </c>
      <c r="J138" s="34" t="str">
        <f t="shared" si="18"/>
        <v/>
      </c>
      <c r="K138" s="34">
        <f t="shared" si="19"/>
        <v>14236</v>
      </c>
      <c r="L138" s="33">
        <f>IF(AND(C138="No",H138&gt;'Analysis Summary'!$B$5),1,0)</f>
        <v>0</v>
      </c>
      <c r="M138" s="33" t="str">
        <f>IF(L138=1,SUM($L$2:L138),"")</f>
        <v/>
      </c>
      <c r="N138" s="33">
        <f>IF(C138="Yes",COUNTIF($C$2:C138,"Yes"),"")</f>
        <v>118</v>
      </c>
      <c r="P138" s="37">
        <v>137</v>
      </c>
      <c r="Q138" s="32">
        <f t="shared" si="20"/>
        <v>45906</v>
      </c>
      <c r="R138" s="34">
        <f t="shared" si="21"/>
        <v>1841</v>
      </c>
      <c r="S138" s="35">
        <f t="shared" si="22"/>
        <v>34.200000000000003</v>
      </c>
      <c r="T138" s="34">
        <f t="shared" si="23"/>
        <v>14257</v>
      </c>
    </row>
    <row r="139" spans="1:20" x14ac:dyDescent="0.25">
      <c r="A139" s="32">
        <f>'Daily Energy'!A139</f>
        <v>45885</v>
      </c>
      <c r="B139" s="33" t="str">
        <f>'Daily Energy'!B139</f>
        <v>Saturday</v>
      </c>
      <c r="C139" s="33" t="str">
        <f>'Daily Energy'!C139</f>
        <v>Yes</v>
      </c>
      <c r="D139" s="34">
        <f>'Daily Energy'!D139</f>
        <v>2074</v>
      </c>
      <c r="E139" s="35">
        <f>'Daily Energy'!E139</f>
        <v>32.200000000000003</v>
      </c>
      <c r="F139" s="34">
        <f>'Daily Energy'!F139</f>
        <v>14492</v>
      </c>
      <c r="G139" s="34">
        <f>'Daily Energy'!G139</f>
        <v>1100</v>
      </c>
      <c r="H139" s="34">
        <f t="shared" si="16"/>
        <v>15592</v>
      </c>
      <c r="I139" s="36">
        <f t="shared" si="17"/>
        <v>45870</v>
      </c>
      <c r="J139" s="34" t="str">
        <f t="shared" si="18"/>
        <v/>
      </c>
      <c r="K139" s="34">
        <f t="shared" si="19"/>
        <v>15592</v>
      </c>
      <c r="L139" s="33">
        <f>IF(AND(C139="No",H139&gt;'Analysis Summary'!$B$5),1,0)</f>
        <v>0</v>
      </c>
      <c r="M139" s="33" t="str">
        <f>IF(L139=1,SUM($L$2:L139),"")</f>
        <v/>
      </c>
      <c r="N139" s="33">
        <f>IF(C139="Yes",COUNTIF($C$2:C139,"Yes"),"")</f>
        <v>119</v>
      </c>
      <c r="P139" s="37">
        <v>138</v>
      </c>
      <c r="Q139" s="32">
        <f t="shared" si="20"/>
        <v>45908</v>
      </c>
      <c r="R139" s="34">
        <f t="shared" si="21"/>
        <v>1861</v>
      </c>
      <c r="S139" s="35">
        <f t="shared" si="22"/>
        <v>32.1</v>
      </c>
      <c r="T139" s="34">
        <f t="shared" si="23"/>
        <v>13385</v>
      </c>
    </row>
    <row r="140" spans="1:20" x14ac:dyDescent="0.25">
      <c r="A140" s="32">
        <f>'Daily Energy'!A140</f>
        <v>45886</v>
      </c>
      <c r="B140" s="33" t="str">
        <f>'Daily Energy'!B140</f>
        <v>Sunday</v>
      </c>
      <c r="C140" s="33" t="str">
        <f>'Daily Energy'!C140</f>
        <v>No</v>
      </c>
      <c r="D140" s="34">
        <f>'Daily Energy'!D140</f>
        <v>0</v>
      </c>
      <c r="E140" s="35">
        <f>'Daily Energy'!E140</f>
        <v>31.5</v>
      </c>
      <c r="F140" s="34">
        <f>'Daily Energy'!F140</f>
        <v>3636</v>
      </c>
      <c r="G140" s="34">
        <f>'Daily Energy'!G140</f>
        <v>857</v>
      </c>
      <c r="H140" s="34">
        <f t="shared" si="16"/>
        <v>4493</v>
      </c>
      <c r="I140" s="36">
        <f t="shared" si="17"/>
        <v>45870</v>
      </c>
      <c r="J140" s="34">
        <f t="shared" si="18"/>
        <v>4493</v>
      </c>
      <c r="K140" s="34" t="str">
        <f t="shared" si="19"/>
        <v/>
      </c>
      <c r="L140" s="33">
        <f>IF(AND(C140="No",H140&gt;'Analysis Summary'!$B$5),1,0)</f>
        <v>0</v>
      </c>
      <c r="M140" s="33" t="str">
        <f>IF(L140=1,SUM($L$2:L140),"")</f>
        <v/>
      </c>
      <c r="N140" s="33" t="str">
        <f>IF(C140="Yes",COUNTIF($C$2:C140,"Yes"),"")</f>
        <v/>
      </c>
      <c r="P140" s="37">
        <v>139</v>
      </c>
      <c r="Q140" s="32">
        <f t="shared" si="20"/>
        <v>45909</v>
      </c>
      <c r="R140" s="34">
        <f t="shared" si="21"/>
        <v>1944</v>
      </c>
      <c r="S140" s="35">
        <f t="shared" si="22"/>
        <v>30.5</v>
      </c>
      <c r="T140" s="34">
        <f t="shared" si="23"/>
        <v>13545</v>
      </c>
    </row>
    <row r="141" spans="1:20" x14ac:dyDescent="0.25">
      <c r="A141" s="32">
        <f>'Daily Energy'!A141</f>
        <v>45887</v>
      </c>
      <c r="B141" s="33" t="str">
        <f>'Daily Energy'!B141</f>
        <v>Monday</v>
      </c>
      <c r="C141" s="33" t="str">
        <f>'Daily Energy'!C141</f>
        <v>Yes</v>
      </c>
      <c r="D141" s="34">
        <f>'Daily Energy'!D141</f>
        <v>1715</v>
      </c>
      <c r="E141" s="35">
        <f>'Daily Energy'!E141</f>
        <v>32.299999999999997</v>
      </c>
      <c r="F141" s="34">
        <f>'Daily Energy'!F141</f>
        <v>12178</v>
      </c>
      <c r="G141" s="34">
        <f>'Daily Energy'!G141</f>
        <v>234</v>
      </c>
      <c r="H141" s="34">
        <f t="shared" si="16"/>
        <v>12412</v>
      </c>
      <c r="I141" s="36">
        <f t="shared" si="17"/>
        <v>45870</v>
      </c>
      <c r="J141" s="34" t="str">
        <f t="shared" si="18"/>
        <v/>
      </c>
      <c r="K141" s="34">
        <f t="shared" si="19"/>
        <v>12412</v>
      </c>
      <c r="L141" s="33">
        <f>IF(AND(C141="No",H141&gt;'Analysis Summary'!$B$5),1,0)</f>
        <v>0</v>
      </c>
      <c r="M141" s="33" t="str">
        <f>IF(L141=1,SUM($L$2:L141),"")</f>
        <v/>
      </c>
      <c r="N141" s="33">
        <f>IF(C141="Yes",COUNTIF($C$2:C141,"Yes"),"")</f>
        <v>120</v>
      </c>
      <c r="P141" s="37">
        <v>140</v>
      </c>
      <c r="Q141" s="32">
        <f t="shared" si="20"/>
        <v>45910</v>
      </c>
      <c r="R141" s="34">
        <f t="shared" si="21"/>
        <v>1862</v>
      </c>
      <c r="S141" s="35">
        <f t="shared" si="22"/>
        <v>30.8</v>
      </c>
      <c r="T141" s="34">
        <f t="shared" si="23"/>
        <v>13871</v>
      </c>
    </row>
    <row r="142" spans="1:20" x14ac:dyDescent="0.25">
      <c r="A142" s="32">
        <f>'Daily Energy'!A142</f>
        <v>45888</v>
      </c>
      <c r="B142" s="33" t="str">
        <f>'Daily Energy'!B142</f>
        <v>Tuesday</v>
      </c>
      <c r="C142" s="33" t="str">
        <f>'Daily Energy'!C142</f>
        <v>Yes</v>
      </c>
      <c r="D142" s="34">
        <f>'Daily Energy'!D142</f>
        <v>1686</v>
      </c>
      <c r="E142" s="35">
        <f>'Daily Energy'!E142</f>
        <v>31.4</v>
      </c>
      <c r="F142" s="34">
        <f>'Daily Energy'!F142</f>
        <v>11659</v>
      </c>
      <c r="G142" s="34">
        <f>'Daily Energy'!G142</f>
        <v>739</v>
      </c>
      <c r="H142" s="34">
        <f t="shared" si="16"/>
        <v>12398</v>
      </c>
      <c r="I142" s="36">
        <f t="shared" si="17"/>
        <v>45870</v>
      </c>
      <c r="J142" s="34" t="str">
        <f t="shared" si="18"/>
        <v/>
      </c>
      <c r="K142" s="34">
        <f t="shared" si="19"/>
        <v>12398</v>
      </c>
      <c r="L142" s="33">
        <f>IF(AND(C142="No",H142&gt;'Analysis Summary'!$B$5),1,0)</f>
        <v>0</v>
      </c>
      <c r="M142" s="33" t="str">
        <f>IF(L142=1,SUM($L$2:L142),"")</f>
        <v/>
      </c>
      <c r="N142" s="33">
        <f>IF(C142="Yes",COUNTIF($C$2:C142,"Yes"),"")</f>
        <v>121</v>
      </c>
      <c r="P142" s="37">
        <v>141</v>
      </c>
      <c r="Q142" s="32">
        <f t="shared" si="20"/>
        <v>45911</v>
      </c>
      <c r="R142" s="34">
        <f t="shared" si="21"/>
        <v>1801</v>
      </c>
      <c r="S142" s="35">
        <f t="shared" si="22"/>
        <v>31.4</v>
      </c>
      <c r="T142" s="34">
        <f t="shared" si="23"/>
        <v>13854</v>
      </c>
    </row>
    <row r="143" spans="1:20" x14ac:dyDescent="0.25">
      <c r="A143" s="32">
        <f>'Daily Energy'!A143</f>
        <v>45889</v>
      </c>
      <c r="B143" s="33" t="str">
        <f>'Daily Energy'!B143</f>
        <v>Wednesday</v>
      </c>
      <c r="C143" s="33" t="str">
        <f>'Daily Energy'!C143</f>
        <v>Yes</v>
      </c>
      <c r="D143" s="34">
        <f>'Daily Energy'!D143</f>
        <v>1911</v>
      </c>
      <c r="E143" s="35">
        <f>'Daily Energy'!E143</f>
        <v>33.200000000000003</v>
      </c>
      <c r="F143" s="34">
        <f>'Daily Energy'!F143</f>
        <v>13523</v>
      </c>
      <c r="G143" s="34">
        <f>'Daily Energy'!G143</f>
        <v>821</v>
      </c>
      <c r="H143" s="34">
        <f t="shared" si="16"/>
        <v>14344</v>
      </c>
      <c r="I143" s="36">
        <f t="shared" si="17"/>
        <v>45870</v>
      </c>
      <c r="J143" s="34" t="str">
        <f t="shared" si="18"/>
        <v/>
      </c>
      <c r="K143" s="34">
        <f t="shared" si="19"/>
        <v>14344</v>
      </c>
      <c r="L143" s="33">
        <f>IF(AND(C143="No",H143&gt;'Analysis Summary'!$B$5),1,0)</f>
        <v>0</v>
      </c>
      <c r="M143" s="33" t="str">
        <f>IF(L143=1,SUM($L$2:L143),"")</f>
        <v/>
      </c>
      <c r="N143" s="33">
        <f>IF(C143="Yes",COUNTIF($C$2:C143,"Yes"),"")</f>
        <v>122</v>
      </c>
      <c r="P143" s="37">
        <v>142</v>
      </c>
      <c r="Q143" s="32">
        <f t="shared" si="20"/>
        <v>45912</v>
      </c>
      <c r="R143" s="34">
        <f t="shared" si="21"/>
        <v>1918</v>
      </c>
      <c r="S143" s="35">
        <f t="shared" si="22"/>
        <v>30</v>
      </c>
      <c r="T143" s="34">
        <f t="shared" si="23"/>
        <v>13931</v>
      </c>
    </row>
    <row r="144" spans="1:20" x14ac:dyDescent="0.25">
      <c r="A144" s="32">
        <f>'Daily Energy'!A144</f>
        <v>45890</v>
      </c>
      <c r="B144" s="33" t="str">
        <f>'Daily Energy'!B144</f>
        <v>Thursday</v>
      </c>
      <c r="C144" s="33" t="str">
        <f>'Daily Energy'!C144</f>
        <v>Yes</v>
      </c>
      <c r="D144" s="34">
        <f>'Daily Energy'!D144</f>
        <v>1805</v>
      </c>
      <c r="E144" s="35">
        <f>'Daily Energy'!E144</f>
        <v>33.4</v>
      </c>
      <c r="F144" s="34">
        <f>'Daily Energy'!F144</f>
        <v>13156</v>
      </c>
      <c r="G144" s="34">
        <f>'Daily Energy'!G144</f>
        <v>1073</v>
      </c>
      <c r="H144" s="34">
        <f t="shared" si="16"/>
        <v>14229</v>
      </c>
      <c r="I144" s="36">
        <f t="shared" si="17"/>
        <v>45870</v>
      </c>
      <c r="J144" s="34" t="str">
        <f t="shared" si="18"/>
        <v/>
      </c>
      <c r="K144" s="34">
        <f t="shared" si="19"/>
        <v>14229</v>
      </c>
      <c r="L144" s="33">
        <f>IF(AND(C144="No",H144&gt;'Analysis Summary'!$B$5),1,0)</f>
        <v>0</v>
      </c>
      <c r="M144" s="33" t="str">
        <f>IF(L144=1,SUM($L$2:L144),"")</f>
        <v/>
      </c>
      <c r="N144" s="33">
        <f>IF(C144="Yes",COUNTIF($C$2:C144,"Yes"),"")</f>
        <v>123</v>
      </c>
      <c r="P144" s="37">
        <v>143</v>
      </c>
      <c r="Q144" s="32">
        <f t="shared" si="20"/>
        <v>45913</v>
      </c>
      <c r="R144" s="34">
        <f t="shared" si="21"/>
        <v>1742</v>
      </c>
      <c r="S144" s="35">
        <f t="shared" si="22"/>
        <v>29.7</v>
      </c>
      <c r="T144" s="34">
        <f t="shared" si="23"/>
        <v>12827</v>
      </c>
    </row>
    <row r="145" spans="1:20" x14ac:dyDescent="0.25">
      <c r="A145" s="32">
        <f>'Daily Energy'!A145</f>
        <v>45891</v>
      </c>
      <c r="B145" s="33" t="str">
        <f>'Daily Energy'!B145</f>
        <v>Friday</v>
      </c>
      <c r="C145" s="33" t="str">
        <f>'Daily Energy'!C145</f>
        <v>Yes</v>
      </c>
      <c r="D145" s="34">
        <f>'Daily Energy'!D145</f>
        <v>1659</v>
      </c>
      <c r="E145" s="35">
        <f>'Daily Energy'!E145</f>
        <v>31.3</v>
      </c>
      <c r="F145" s="34">
        <f>'Daily Energy'!F145</f>
        <v>12261</v>
      </c>
      <c r="G145" s="34">
        <f>'Daily Energy'!G145</f>
        <v>600</v>
      </c>
      <c r="H145" s="34">
        <f t="shared" si="16"/>
        <v>12861</v>
      </c>
      <c r="I145" s="36">
        <f t="shared" si="17"/>
        <v>45870</v>
      </c>
      <c r="J145" s="34" t="str">
        <f t="shared" si="18"/>
        <v/>
      </c>
      <c r="K145" s="34">
        <f t="shared" si="19"/>
        <v>12861</v>
      </c>
      <c r="L145" s="33">
        <f>IF(AND(C145="No",H145&gt;'Analysis Summary'!$B$5),1,0)</f>
        <v>0</v>
      </c>
      <c r="M145" s="33" t="str">
        <f>IF(L145=1,SUM($L$2:L145),"")</f>
        <v/>
      </c>
      <c r="N145" s="33">
        <f>IF(C145="Yes",COUNTIF($C$2:C145,"Yes"),"")</f>
        <v>124</v>
      </c>
      <c r="P145" s="37">
        <v>144</v>
      </c>
      <c r="Q145" s="32">
        <f t="shared" si="20"/>
        <v>45915</v>
      </c>
      <c r="R145" s="34">
        <f t="shared" si="21"/>
        <v>1803</v>
      </c>
      <c r="S145" s="35">
        <f t="shared" si="22"/>
        <v>30.5</v>
      </c>
      <c r="T145" s="34">
        <f t="shared" si="23"/>
        <v>13749</v>
      </c>
    </row>
    <row r="146" spans="1:20" x14ac:dyDescent="0.25">
      <c r="A146" s="32">
        <f>'Daily Energy'!A146</f>
        <v>45892</v>
      </c>
      <c r="B146" s="33" t="str">
        <f>'Daily Energy'!B146</f>
        <v>Saturday</v>
      </c>
      <c r="C146" s="33" t="str">
        <f>'Daily Energy'!C146</f>
        <v>Yes</v>
      </c>
      <c r="D146" s="34">
        <f>'Daily Energy'!D146</f>
        <v>2190</v>
      </c>
      <c r="E146" s="35">
        <f>'Daily Energy'!E146</f>
        <v>34.299999999999997</v>
      </c>
      <c r="F146" s="34">
        <f>'Daily Energy'!F146</f>
        <v>15399</v>
      </c>
      <c r="G146" s="34">
        <f>'Daily Energy'!G146</f>
        <v>957</v>
      </c>
      <c r="H146" s="34">
        <f t="shared" si="16"/>
        <v>16356</v>
      </c>
      <c r="I146" s="36">
        <f t="shared" si="17"/>
        <v>45870</v>
      </c>
      <c r="J146" s="34" t="str">
        <f t="shared" si="18"/>
        <v/>
      </c>
      <c r="K146" s="34">
        <f t="shared" si="19"/>
        <v>16356</v>
      </c>
      <c r="L146" s="33">
        <f>IF(AND(C146="No",H146&gt;'Analysis Summary'!$B$5),1,0)</f>
        <v>0</v>
      </c>
      <c r="M146" s="33" t="str">
        <f>IF(L146=1,SUM($L$2:L146),"")</f>
        <v/>
      </c>
      <c r="N146" s="33">
        <f>IF(C146="Yes",COUNTIF($C$2:C146,"Yes"),"")</f>
        <v>125</v>
      </c>
      <c r="P146" s="37">
        <v>145</v>
      </c>
      <c r="Q146" s="32">
        <f t="shared" si="20"/>
        <v>45916</v>
      </c>
      <c r="R146" s="34">
        <f t="shared" si="21"/>
        <v>1755</v>
      </c>
      <c r="S146" s="35">
        <f t="shared" si="22"/>
        <v>28.5</v>
      </c>
      <c r="T146" s="34">
        <f t="shared" si="23"/>
        <v>12334</v>
      </c>
    </row>
    <row r="147" spans="1:20" x14ac:dyDescent="0.25">
      <c r="A147" s="32">
        <f>'Daily Energy'!A147</f>
        <v>45893</v>
      </c>
      <c r="B147" s="33" t="str">
        <f>'Daily Energy'!B147</f>
        <v>Sunday</v>
      </c>
      <c r="C147" s="33" t="str">
        <f>'Daily Energy'!C147</f>
        <v>No</v>
      </c>
      <c r="D147" s="34">
        <f>'Daily Energy'!D147</f>
        <v>0</v>
      </c>
      <c r="E147" s="35">
        <f>'Daily Energy'!E147</f>
        <v>33.4</v>
      </c>
      <c r="F147" s="34">
        <f>'Daily Energy'!F147</f>
        <v>3752</v>
      </c>
      <c r="G147" s="34">
        <f>'Daily Energy'!G147</f>
        <v>437</v>
      </c>
      <c r="H147" s="34">
        <f t="shared" si="16"/>
        <v>4189</v>
      </c>
      <c r="I147" s="36">
        <f t="shared" si="17"/>
        <v>45870</v>
      </c>
      <c r="J147" s="34">
        <f t="shared" si="18"/>
        <v>4189</v>
      </c>
      <c r="K147" s="34" t="str">
        <f t="shared" si="19"/>
        <v/>
      </c>
      <c r="L147" s="33">
        <f>IF(AND(C147="No",H147&gt;'Analysis Summary'!$B$5),1,0)</f>
        <v>0</v>
      </c>
      <c r="M147" s="33" t="str">
        <f>IF(L147=1,SUM($L$2:L147),"")</f>
        <v/>
      </c>
      <c r="N147" s="33" t="str">
        <f>IF(C147="Yes",COUNTIF($C$2:C147,"Yes"),"")</f>
        <v/>
      </c>
      <c r="P147" s="37">
        <v>146</v>
      </c>
      <c r="Q147" s="32">
        <f t="shared" si="20"/>
        <v>45917</v>
      </c>
      <c r="R147" s="34">
        <f t="shared" si="21"/>
        <v>1998</v>
      </c>
      <c r="S147" s="35">
        <f t="shared" si="22"/>
        <v>28.8</v>
      </c>
      <c r="T147" s="34">
        <f t="shared" si="23"/>
        <v>14370</v>
      </c>
    </row>
    <row r="148" spans="1:20" x14ac:dyDescent="0.25">
      <c r="A148" s="32">
        <f>'Daily Energy'!A148</f>
        <v>45894</v>
      </c>
      <c r="B148" s="33" t="str">
        <f>'Daily Energy'!B148</f>
        <v>Monday</v>
      </c>
      <c r="C148" s="33" t="str">
        <f>'Daily Energy'!C148</f>
        <v>Yes</v>
      </c>
      <c r="D148" s="34">
        <f>'Daily Energy'!D148</f>
        <v>2018</v>
      </c>
      <c r="E148" s="35">
        <f>'Daily Energy'!E148</f>
        <v>33</v>
      </c>
      <c r="F148" s="34">
        <f>'Daily Energy'!F148</f>
        <v>13806</v>
      </c>
      <c r="G148" s="34">
        <f>'Daily Energy'!G148</f>
        <v>1075</v>
      </c>
      <c r="H148" s="34">
        <f t="shared" si="16"/>
        <v>14881</v>
      </c>
      <c r="I148" s="36">
        <f t="shared" si="17"/>
        <v>45870</v>
      </c>
      <c r="J148" s="34" t="str">
        <f t="shared" si="18"/>
        <v/>
      </c>
      <c r="K148" s="34">
        <f t="shared" si="19"/>
        <v>14881</v>
      </c>
      <c r="L148" s="33">
        <f>IF(AND(C148="No",H148&gt;'Analysis Summary'!$B$5),1,0)</f>
        <v>0</v>
      </c>
      <c r="M148" s="33" t="str">
        <f>IF(L148=1,SUM($L$2:L148),"")</f>
        <v/>
      </c>
      <c r="N148" s="33">
        <f>IF(C148="Yes",COUNTIF($C$2:C148,"Yes"),"")</f>
        <v>126</v>
      </c>
      <c r="P148" s="37">
        <v>147</v>
      </c>
      <c r="Q148" s="32">
        <f t="shared" si="20"/>
        <v>45918</v>
      </c>
      <c r="R148" s="34">
        <f t="shared" si="21"/>
        <v>1504</v>
      </c>
      <c r="S148" s="35">
        <f t="shared" si="22"/>
        <v>28.3</v>
      </c>
      <c r="T148" s="34">
        <f t="shared" si="23"/>
        <v>11380</v>
      </c>
    </row>
    <row r="149" spans="1:20" x14ac:dyDescent="0.25">
      <c r="A149" s="32">
        <f>'Daily Energy'!A149</f>
        <v>45895</v>
      </c>
      <c r="B149" s="33" t="str">
        <f>'Daily Energy'!B149</f>
        <v>Tuesday</v>
      </c>
      <c r="C149" s="33" t="str">
        <f>'Daily Energy'!C149</f>
        <v>Yes</v>
      </c>
      <c r="D149" s="34">
        <f>'Daily Energy'!D149</f>
        <v>1675</v>
      </c>
      <c r="E149" s="35">
        <f>'Daily Energy'!E149</f>
        <v>28.4</v>
      </c>
      <c r="F149" s="34">
        <f>'Daily Energy'!F149</f>
        <v>11704</v>
      </c>
      <c r="G149" s="34">
        <f>'Daily Energy'!G149</f>
        <v>741</v>
      </c>
      <c r="H149" s="34">
        <f t="shared" si="16"/>
        <v>12445</v>
      </c>
      <c r="I149" s="36">
        <f t="shared" si="17"/>
        <v>45870</v>
      </c>
      <c r="J149" s="34" t="str">
        <f t="shared" si="18"/>
        <v/>
      </c>
      <c r="K149" s="34">
        <f t="shared" si="19"/>
        <v>12445</v>
      </c>
      <c r="L149" s="33">
        <f>IF(AND(C149="No",H149&gt;'Analysis Summary'!$B$5),1,0)</f>
        <v>0</v>
      </c>
      <c r="M149" s="33" t="str">
        <f>IF(L149=1,SUM($L$2:L149),"")</f>
        <v/>
      </c>
      <c r="N149" s="33">
        <f>IF(C149="Yes",COUNTIF($C$2:C149,"Yes"),"")</f>
        <v>127</v>
      </c>
      <c r="P149" s="37">
        <v>148</v>
      </c>
      <c r="Q149" s="32">
        <f t="shared" si="20"/>
        <v>45919</v>
      </c>
      <c r="R149" s="34">
        <f t="shared" si="21"/>
        <v>1832</v>
      </c>
      <c r="S149" s="35">
        <f t="shared" si="22"/>
        <v>29.1</v>
      </c>
      <c r="T149" s="34">
        <f t="shared" si="23"/>
        <v>13143</v>
      </c>
    </row>
    <row r="150" spans="1:20" x14ac:dyDescent="0.25">
      <c r="A150" s="32">
        <f>'Daily Energy'!A150</f>
        <v>45896</v>
      </c>
      <c r="B150" s="33" t="str">
        <f>'Daily Energy'!B150</f>
        <v>Wednesday</v>
      </c>
      <c r="C150" s="33" t="str">
        <f>'Daily Energy'!C150</f>
        <v>Yes</v>
      </c>
      <c r="D150" s="34">
        <f>'Daily Energy'!D150</f>
        <v>1642</v>
      </c>
      <c r="E150" s="35">
        <f>'Daily Energy'!E150</f>
        <v>32.200000000000003</v>
      </c>
      <c r="F150" s="34">
        <f>'Daily Energy'!F150</f>
        <v>11856</v>
      </c>
      <c r="G150" s="34">
        <f>'Daily Energy'!G150</f>
        <v>644</v>
      </c>
      <c r="H150" s="34">
        <f t="shared" si="16"/>
        <v>12500</v>
      </c>
      <c r="I150" s="36">
        <f t="shared" si="17"/>
        <v>45870</v>
      </c>
      <c r="J150" s="34" t="str">
        <f t="shared" si="18"/>
        <v/>
      </c>
      <c r="K150" s="34">
        <f t="shared" si="19"/>
        <v>12500</v>
      </c>
      <c r="L150" s="33">
        <f>IF(AND(C150="No",H150&gt;'Analysis Summary'!$B$5),1,0)</f>
        <v>0</v>
      </c>
      <c r="M150" s="33" t="str">
        <f>IF(L150=1,SUM($L$2:L150),"")</f>
        <v/>
      </c>
      <c r="N150" s="33">
        <f>IF(C150="Yes",COUNTIF($C$2:C150,"Yes"),"")</f>
        <v>128</v>
      </c>
      <c r="P150" s="37">
        <v>149</v>
      </c>
      <c r="Q150" s="32">
        <f t="shared" si="20"/>
        <v>45920</v>
      </c>
      <c r="R150" s="34">
        <f t="shared" si="21"/>
        <v>1923</v>
      </c>
      <c r="S150" s="35">
        <f t="shared" si="22"/>
        <v>27.3</v>
      </c>
      <c r="T150" s="34">
        <f t="shared" si="23"/>
        <v>13540</v>
      </c>
    </row>
    <row r="151" spans="1:20" x14ac:dyDescent="0.25">
      <c r="A151" s="32">
        <f>'Daily Energy'!A151</f>
        <v>45897</v>
      </c>
      <c r="B151" s="33" t="str">
        <f>'Daily Energy'!B151</f>
        <v>Thursday</v>
      </c>
      <c r="C151" s="33" t="str">
        <f>'Daily Energy'!C151</f>
        <v>Yes</v>
      </c>
      <c r="D151" s="34">
        <f>'Daily Energy'!D151</f>
        <v>1842</v>
      </c>
      <c r="E151" s="35">
        <f>'Daily Energy'!E151</f>
        <v>32.200000000000003</v>
      </c>
      <c r="F151" s="34">
        <f>'Daily Energy'!F151</f>
        <v>13161</v>
      </c>
      <c r="G151" s="34">
        <f>'Daily Energy'!G151</f>
        <v>659</v>
      </c>
      <c r="H151" s="34">
        <f t="shared" si="16"/>
        <v>13820</v>
      </c>
      <c r="I151" s="36">
        <f t="shared" si="17"/>
        <v>45870</v>
      </c>
      <c r="J151" s="34" t="str">
        <f t="shared" si="18"/>
        <v/>
      </c>
      <c r="K151" s="34">
        <f t="shared" si="19"/>
        <v>13820</v>
      </c>
      <c r="L151" s="33">
        <f>IF(AND(C151="No",H151&gt;'Analysis Summary'!$B$5),1,0)</f>
        <v>0</v>
      </c>
      <c r="M151" s="33" t="str">
        <f>IF(L151=1,SUM($L$2:L151),"")</f>
        <v/>
      </c>
      <c r="N151" s="33">
        <f>IF(C151="Yes",COUNTIF($C$2:C151,"Yes"),"")</f>
        <v>129</v>
      </c>
      <c r="P151" s="37">
        <v>150</v>
      </c>
      <c r="Q151" s="32">
        <f t="shared" si="20"/>
        <v>45922</v>
      </c>
      <c r="R151" s="34">
        <f t="shared" si="21"/>
        <v>1678</v>
      </c>
      <c r="S151" s="35">
        <f t="shared" si="22"/>
        <v>30.3</v>
      </c>
      <c r="T151" s="34">
        <f t="shared" si="23"/>
        <v>13073</v>
      </c>
    </row>
    <row r="152" spans="1:20" x14ac:dyDescent="0.25">
      <c r="A152" s="32">
        <f>'Daily Energy'!A152</f>
        <v>45898</v>
      </c>
      <c r="B152" s="33" t="str">
        <f>'Daily Energy'!B152</f>
        <v>Friday</v>
      </c>
      <c r="C152" s="33" t="str">
        <f>'Daily Energy'!C152</f>
        <v>Yes</v>
      </c>
      <c r="D152" s="34">
        <f>'Daily Energy'!D152</f>
        <v>1888</v>
      </c>
      <c r="E152" s="35">
        <f>'Daily Energy'!E152</f>
        <v>30.7</v>
      </c>
      <c r="F152" s="34">
        <f>'Daily Energy'!F152</f>
        <v>12813</v>
      </c>
      <c r="G152" s="34">
        <f>'Daily Energy'!G152</f>
        <v>478</v>
      </c>
      <c r="H152" s="34">
        <f t="shared" si="16"/>
        <v>13291</v>
      </c>
      <c r="I152" s="36">
        <f t="shared" si="17"/>
        <v>45870</v>
      </c>
      <c r="J152" s="34" t="str">
        <f t="shared" si="18"/>
        <v/>
      </c>
      <c r="K152" s="34">
        <f t="shared" si="19"/>
        <v>13291</v>
      </c>
      <c r="L152" s="33">
        <f>IF(AND(C152="No",H152&gt;'Analysis Summary'!$B$5),1,0)</f>
        <v>0</v>
      </c>
      <c r="M152" s="33" t="str">
        <f>IF(L152=1,SUM($L$2:L152),"")</f>
        <v/>
      </c>
      <c r="N152" s="33">
        <f>IF(C152="Yes",COUNTIF($C$2:C152,"Yes"),"")</f>
        <v>130</v>
      </c>
      <c r="P152" s="37">
        <v>151</v>
      </c>
      <c r="Q152" s="32">
        <f t="shared" si="20"/>
        <v>45923</v>
      </c>
      <c r="R152" s="34">
        <f t="shared" si="21"/>
        <v>1908</v>
      </c>
      <c r="S152" s="35">
        <f t="shared" si="22"/>
        <v>34.1</v>
      </c>
      <c r="T152" s="34">
        <f t="shared" si="23"/>
        <v>14936</v>
      </c>
    </row>
    <row r="153" spans="1:20" x14ac:dyDescent="0.25">
      <c r="A153" s="32">
        <f>'Daily Energy'!A153</f>
        <v>45899</v>
      </c>
      <c r="B153" s="33" t="str">
        <f>'Daily Energy'!B153</f>
        <v>Saturday</v>
      </c>
      <c r="C153" s="33" t="str">
        <f>'Daily Energy'!C153</f>
        <v>Yes</v>
      </c>
      <c r="D153" s="34">
        <f>'Daily Energy'!D153</f>
        <v>1566</v>
      </c>
      <c r="E153" s="35">
        <f>'Daily Energy'!E153</f>
        <v>31.3</v>
      </c>
      <c r="F153" s="34">
        <f>'Daily Energy'!F153</f>
        <v>12139</v>
      </c>
      <c r="G153" s="34">
        <f>'Daily Energy'!G153</f>
        <v>838</v>
      </c>
      <c r="H153" s="34">
        <f t="shared" si="16"/>
        <v>12977</v>
      </c>
      <c r="I153" s="36">
        <f t="shared" si="17"/>
        <v>45870</v>
      </c>
      <c r="J153" s="34" t="str">
        <f t="shared" si="18"/>
        <v/>
      </c>
      <c r="K153" s="34">
        <f t="shared" si="19"/>
        <v>12977</v>
      </c>
      <c r="L153" s="33">
        <f>IF(AND(C153="No",H153&gt;'Analysis Summary'!$B$5),1,0)</f>
        <v>0</v>
      </c>
      <c r="M153" s="33" t="str">
        <f>IF(L153=1,SUM($L$2:L153),"")</f>
        <v/>
      </c>
      <c r="N153" s="33">
        <f>IF(C153="Yes",COUNTIF($C$2:C153,"Yes"),"")</f>
        <v>131</v>
      </c>
      <c r="P153" s="37">
        <v>152</v>
      </c>
      <c r="Q153" s="32">
        <f t="shared" si="20"/>
        <v>45924</v>
      </c>
      <c r="R153" s="34">
        <f t="shared" si="21"/>
        <v>1399</v>
      </c>
      <c r="S153" s="35">
        <f t="shared" si="22"/>
        <v>27.5</v>
      </c>
      <c r="T153" s="34">
        <f t="shared" si="23"/>
        <v>10840</v>
      </c>
    </row>
    <row r="154" spans="1:20" x14ac:dyDescent="0.25">
      <c r="A154" s="32">
        <f>'Daily Energy'!A154</f>
        <v>45900</v>
      </c>
      <c r="B154" s="33" t="str">
        <f>'Daily Energy'!B154</f>
        <v>Sunday</v>
      </c>
      <c r="C154" s="33" t="str">
        <f>'Daily Energy'!C154</f>
        <v>No</v>
      </c>
      <c r="D154" s="34">
        <f>'Daily Energy'!D154</f>
        <v>0</v>
      </c>
      <c r="E154" s="35">
        <f>'Daily Energy'!E154</f>
        <v>33.4</v>
      </c>
      <c r="F154" s="34">
        <f>'Daily Energy'!F154</f>
        <v>3641</v>
      </c>
      <c r="G154" s="34">
        <f>'Daily Energy'!G154</f>
        <v>573</v>
      </c>
      <c r="H154" s="34">
        <f t="shared" si="16"/>
        <v>4214</v>
      </c>
      <c r="I154" s="36">
        <f t="shared" si="17"/>
        <v>45870</v>
      </c>
      <c r="J154" s="34">
        <f t="shared" si="18"/>
        <v>4214</v>
      </c>
      <c r="K154" s="34" t="str">
        <f t="shared" si="19"/>
        <v/>
      </c>
      <c r="L154" s="33">
        <f>IF(AND(C154="No",H154&gt;'Analysis Summary'!$B$5),1,0)</f>
        <v>0</v>
      </c>
      <c r="M154" s="33" t="str">
        <f>IF(L154=1,SUM($L$2:L154),"")</f>
        <v/>
      </c>
      <c r="N154" s="33" t="str">
        <f>IF(C154="Yes",COUNTIF($C$2:C154,"Yes"),"")</f>
        <v/>
      </c>
      <c r="P154" s="37">
        <v>153</v>
      </c>
      <c r="Q154" s="32">
        <f t="shared" si="20"/>
        <v>45925</v>
      </c>
      <c r="R154" s="34">
        <f t="shared" si="21"/>
        <v>1708</v>
      </c>
      <c r="S154" s="35">
        <f t="shared" si="22"/>
        <v>32.200000000000003</v>
      </c>
      <c r="T154" s="34">
        <f t="shared" si="23"/>
        <v>13462</v>
      </c>
    </row>
    <row r="155" spans="1:20" x14ac:dyDescent="0.25">
      <c r="A155" s="32">
        <f>'Daily Energy'!A155</f>
        <v>45901</v>
      </c>
      <c r="B155" s="33" t="str">
        <f>'Daily Energy'!B155</f>
        <v>Monday</v>
      </c>
      <c r="C155" s="33" t="str">
        <f>'Daily Energy'!C155</f>
        <v>Yes</v>
      </c>
      <c r="D155" s="34">
        <f>'Daily Energy'!D155</f>
        <v>1981</v>
      </c>
      <c r="E155" s="35">
        <f>'Daily Energy'!E155</f>
        <v>34.4</v>
      </c>
      <c r="F155" s="34">
        <f>'Daily Energy'!F155</f>
        <v>14670</v>
      </c>
      <c r="G155" s="34">
        <f>'Daily Energy'!G155</f>
        <v>757</v>
      </c>
      <c r="H155" s="34">
        <f t="shared" si="16"/>
        <v>15427</v>
      </c>
      <c r="I155" s="36">
        <f t="shared" si="17"/>
        <v>45901</v>
      </c>
      <c r="J155" s="34" t="str">
        <f t="shared" si="18"/>
        <v/>
      </c>
      <c r="K155" s="34">
        <f t="shared" si="19"/>
        <v>15427</v>
      </c>
      <c r="L155" s="33">
        <f>IF(AND(C155="No",H155&gt;'Analysis Summary'!$B$5),1,0)</f>
        <v>0</v>
      </c>
      <c r="M155" s="33" t="str">
        <f>IF(L155=1,SUM($L$2:L155),"")</f>
        <v/>
      </c>
      <c r="N155" s="33">
        <f>IF(C155="Yes",COUNTIF($C$2:C155,"Yes"),"")</f>
        <v>132</v>
      </c>
      <c r="P155" s="37">
        <v>154</v>
      </c>
      <c r="Q155" s="32">
        <f t="shared" si="20"/>
        <v>45926</v>
      </c>
      <c r="R155" s="34">
        <f t="shared" si="21"/>
        <v>1954</v>
      </c>
      <c r="S155" s="35">
        <f t="shared" si="22"/>
        <v>27.4</v>
      </c>
      <c r="T155" s="34">
        <f t="shared" si="23"/>
        <v>13461</v>
      </c>
    </row>
    <row r="156" spans="1:20" x14ac:dyDescent="0.25">
      <c r="A156" s="32">
        <f>'Daily Energy'!A156</f>
        <v>45902</v>
      </c>
      <c r="B156" s="33" t="str">
        <f>'Daily Energy'!B156</f>
        <v>Tuesday</v>
      </c>
      <c r="C156" s="33" t="str">
        <f>'Daily Energy'!C156</f>
        <v>Yes</v>
      </c>
      <c r="D156" s="34">
        <f>'Daily Energy'!D156</f>
        <v>1714</v>
      </c>
      <c r="E156" s="35">
        <f>'Daily Energy'!E156</f>
        <v>32</v>
      </c>
      <c r="F156" s="34">
        <f>'Daily Energy'!F156</f>
        <v>12916</v>
      </c>
      <c r="G156" s="34">
        <f>'Daily Energy'!G156</f>
        <v>616</v>
      </c>
      <c r="H156" s="34">
        <f t="shared" si="16"/>
        <v>13532</v>
      </c>
      <c r="I156" s="36">
        <f t="shared" si="17"/>
        <v>45901</v>
      </c>
      <c r="J156" s="34" t="str">
        <f t="shared" si="18"/>
        <v/>
      </c>
      <c r="K156" s="34">
        <f t="shared" si="19"/>
        <v>13532</v>
      </c>
      <c r="L156" s="33">
        <f>IF(AND(C156="No",H156&gt;'Analysis Summary'!$B$5),1,0)</f>
        <v>0</v>
      </c>
      <c r="M156" s="33" t="str">
        <f>IF(L156=1,SUM($L$2:L156),"")</f>
        <v/>
      </c>
      <c r="N156" s="33">
        <f>IF(C156="Yes",COUNTIF($C$2:C156,"Yes"),"")</f>
        <v>133</v>
      </c>
      <c r="P156" s="37">
        <v>155</v>
      </c>
      <c r="Q156" s="32">
        <f t="shared" si="20"/>
        <v>45927</v>
      </c>
      <c r="R156" s="34">
        <f t="shared" si="21"/>
        <v>1844</v>
      </c>
      <c r="S156" s="35">
        <f t="shared" si="22"/>
        <v>29.4</v>
      </c>
      <c r="T156" s="34">
        <f t="shared" si="23"/>
        <v>13313</v>
      </c>
    </row>
    <row r="157" spans="1:20" x14ac:dyDescent="0.25">
      <c r="A157" s="32">
        <f>'Daily Energy'!A157</f>
        <v>45903</v>
      </c>
      <c r="B157" s="33" t="str">
        <f>'Daily Energy'!B157</f>
        <v>Wednesday</v>
      </c>
      <c r="C157" s="33" t="str">
        <f>'Daily Energy'!C157</f>
        <v>Yes</v>
      </c>
      <c r="D157" s="34">
        <f>'Daily Energy'!D157</f>
        <v>1714</v>
      </c>
      <c r="E157" s="35">
        <f>'Daily Energy'!E157</f>
        <v>28.5</v>
      </c>
      <c r="F157" s="34">
        <f>'Daily Energy'!F157</f>
        <v>11488</v>
      </c>
      <c r="G157" s="34">
        <f>'Daily Energy'!G157</f>
        <v>336</v>
      </c>
      <c r="H157" s="34">
        <f t="shared" si="16"/>
        <v>11824</v>
      </c>
      <c r="I157" s="36">
        <f t="shared" si="17"/>
        <v>45901</v>
      </c>
      <c r="J157" s="34" t="str">
        <f t="shared" si="18"/>
        <v/>
      </c>
      <c r="K157" s="34">
        <f t="shared" si="19"/>
        <v>11824</v>
      </c>
      <c r="L157" s="33">
        <f>IF(AND(C157="No",H157&gt;'Analysis Summary'!$B$5),1,0)</f>
        <v>0</v>
      </c>
      <c r="M157" s="33" t="str">
        <f>IF(L157=1,SUM($L$2:L157),"")</f>
        <v/>
      </c>
      <c r="N157" s="33">
        <f>IF(C157="Yes",COUNTIF($C$2:C157,"Yes"),"")</f>
        <v>134</v>
      </c>
      <c r="P157" s="37">
        <v>156</v>
      </c>
      <c r="Q157" s="32">
        <f t="shared" si="20"/>
        <v>45929</v>
      </c>
      <c r="R157" s="34">
        <f t="shared" si="21"/>
        <v>1943</v>
      </c>
      <c r="S157" s="35">
        <f t="shared" si="22"/>
        <v>28.7</v>
      </c>
      <c r="T157" s="34">
        <f t="shared" si="23"/>
        <v>13955</v>
      </c>
    </row>
    <row r="158" spans="1:20" x14ac:dyDescent="0.25">
      <c r="A158" s="32">
        <f>'Daily Energy'!A158</f>
        <v>45904</v>
      </c>
      <c r="B158" s="33" t="str">
        <f>'Daily Energy'!B158</f>
        <v>Thursday</v>
      </c>
      <c r="C158" s="33" t="str">
        <f>'Daily Energy'!C158</f>
        <v>Yes</v>
      </c>
      <c r="D158" s="34">
        <f>'Daily Energy'!D158</f>
        <v>2032</v>
      </c>
      <c r="E158" s="35">
        <f>'Daily Energy'!E158</f>
        <v>31.7</v>
      </c>
      <c r="F158" s="34">
        <f>'Daily Energy'!F158</f>
        <v>14608</v>
      </c>
      <c r="G158" s="34">
        <f>'Daily Energy'!G158</f>
        <v>903</v>
      </c>
      <c r="H158" s="34">
        <f t="shared" si="16"/>
        <v>15511</v>
      </c>
      <c r="I158" s="36">
        <f t="shared" si="17"/>
        <v>45901</v>
      </c>
      <c r="J158" s="34" t="str">
        <f t="shared" si="18"/>
        <v/>
      </c>
      <c r="K158" s="34">
        <f t="shared" si="19"/>
        <v>15511</v>
      </c>
      <c r="L158" s="33">
        <f>IF(AND(C158="No",H158&gt;'Analysis Summary'!$B$5),1,0)</f>
        <v>0</v>
      </c>
      <c r="M158" s="33" t="str">
        <f>IF(L158=1,SUM($L$2:L158),"")</f>
        <v/>
      </c>
      <c r="N158" s="33">
        <f>IF(C158="Yes",COUNTIF($C$2:C158,"Yes"),"")</f>
        <v>135</v>
      </c>
      <c r="P158" s="37">
        <v>157</v>
      </c>
      <c r="Q158" s="32">
        <f t="shared" si="20"/>
        <v>45930</v>
      </c>
      <c r="R158" s="34">
        <f t="shared" si="21"/>
        <v>1647</v>
      </c>
      <c r="S158" s="35">
        <f t="shared" si="22"/>
        <v>27.7</v>
      </c>
      <c r="T158" s="34">
        <f t="shared" si="23"/>
        <v>11984</v>
      </c>
    </row>
    <row r="159" spans="1:20" x14ac:dyDescent="0.25">
      <c r="A159" s="32">
        <f>'Daily Energy'!A159</f>
        <v>45905</v>
      </c>
      <c r="B159" s="33" t="str">
        <f>'Daily Energy'!B159</f>
        <v>Friday</v>
      </c>
      <c r="C159" s="33" t="str">
        <f>'Daily Energy'!C159</f>
        <v>Yes</v>
      </c>
      <c r="D159" s="34">
        <f>'Daily Energy'!D159</f>
        <v>1685</v>
      </c>
      <c r="E159" s="35">
        <f>'Daily Energy'!E159</f>
        <v>34</v>
      </c>
      <c r="F159" s="34">
        <f>'Daily Energy'!F159</f>
        <v>12649</v>
      </c>
      <c r="G159" s="34">
        <f>'Daily Energy'!G159</f>
        <v>776</v>
      </c>
      <c r="H159" s="34">
        <f t="shared" si="16"/>
        <v>13425</v>
      </c>
      <c r="I159" s="36">
        <f t="shared" si="17"/>
        <v>45901</v>
      </c>
      <c r="J159" s="34" t="str">
        <f t="shared" si="18"/>
        <v/>
      </c>
      <c r="K159" s="34">
        <f t="shared" si="19"/>
        <v>13425</v>
      </c>
      <c r="L159" s="33">
        <f>IF(AND(C159="No",H159&gt;'Analysis Summary'!$B$5),1,0)</f>
        <v>0</v>
      </c>
      <c r="M159" s="33" t="str">
        <f>IF(L159=1,SUM($L$2:L159),"")</f>
        <v/>
      </c>
      <c r="N159" s="33">
        <f>IF(C159="Yes",COUNTIF($C$2:C159,"Yes"),"")</f>
        <v>136</v>
      </c>
      <c r="P159" s="37">
        <v>158</v>
      </c>
      <c r="Q159" s="32">
        <f t="shared" si="20"/>
        <v>45931</v>
      </c>
      <c r="R159" s="34">
        <f t="shared" si="21"/>
        <v>1953</v>
      </c>
      <c r="S159" s="35">
        <f t="shared" si="22"/>
        <v>24.8</v>
      </c>
      <c r="T159" s="34">
        <f t="shared" si="23"/>
        <v>14807</v>
      </c>
    </row>
    <row r="160" spans="1:20" x14ac:dyDescent="0.25">
      <c r="A160" s="32">
        <f>'Daily Energy'!A160</f>
        <v>45906</v>
      </c>
      <c r="B160" s="33" t="str">
        <f>'Daily Energy'!B160</f>
        <v>Saturday</v>
      </c>
      <c r="C160" s="33" t="str">
        <f>'Daily Energy'!C160</f>
        <v>Yes</v>
      </c>
      <c r="D160" s="34">
        <f>'Daily Energy'!D160</f>
        <v>1841</v>
      </c>
      <c r="E160" s="35">
        <f>'Daily Energy'!E160</f>
        <v>34.200000000000003</v>
      </c>
      <c r="F160" s="34">
        <f>'Daily Energy'!F160</f>
        <v>13559</v>
      </c>
      <c r="G160" s="34">
        <f>'Daily Energy'!G160</f>
        <v>698</v>
      </c>
      <c r="H160" s="34">
        <f t="shared" si="16"/>
        <v>14257</v>
      </c>
      <c r="I160" s="36">
        <f t="shared" si="17"/>
        <v>45901</v>
      </c>
      <c r="J160" s="34" t="str">
        <f t="shared" si="18"/>
        <v/>
      </c>
      <c r="K160" s="34">
        <f t="shared" si="19"/>
        <v>14257</v>
      </c>
      <c r="L160" s="33">
        <f>IF(AND(C160="No",H160&gt;'Analysis Summary'!$B$5),1,0)</f>
        <v>0</v>
      </c>
      <c r="M160" s="33" t="str">
        <f>IF(L160=1,SUM($L$2:L160),"")</f>
        <v/>
      </c>
      <c r="N160" s="33">
        <f>IF(C160="Yes",COUNTIF($C$2:C160,"Yes"),"")</f>
        <v>137</v>
      </c>
      <c r="P160" s="37">
        <v>159</v>
      </c>
      <c r="Q160" s="32">
        <f t="shared" si="20"/>
        <v>45932</v>
      </c>
      <c r="R160" s="34">
        <f t="shared" si="21"/>
        <v>1762</v>
      </c>
      <c r="S160" s="35">
        <f t="shared" si="22"/>
        <v>29.3</v>
      </c>
      <c r="T160" s="34">
        <f t="shared" si="23"/>
        <v>13890</v>
      </c>
    </row>
    <row r="161" spans="1:20" x14ac:dyDescent="0.25">
      <c r="A161" s="32">
        <f>'Daily Energy'!A161</f>
        <v>45907</v>
      </c>
      <c r="B161" s="33" t="str">
        <f>'Daily Energy'!B161</f>
        <v>Sunday</v>
      </c>
      <c r="C161" s="33" t="str">
        <f>'Daily Energy'!C161</f>
        <v>No</v>
      </c>
      <c r="D161" s="34">
        <f>'Daily Energy'!D161</f>
        <v>0</v>
      </c>
      <c r="E161" s="35">
        <f>'Daily Energy'!E161</f>
        <v>30.7</v>
      </c>
      <c r="F161" s="34">
        <f>'Daily Energy'!F161</f>
        <v>3655</v>
      </c>
      <c r="G161" s="34">
        <f>'Daily Energy'!G161</f>
        <v>937</v>
      </c>
      <c r="H161" s="34">
        <f t="shared" si="16"/>
        <v>4592</v>
      </c>
      <c r="I161" s="36">
        <f t="shared" si="17"/>
        <v>45901</v>
      </c>
      <c r="J161" s="34">
        <f t="shared" si="18"/>
        <v>4592</v>
      </c>
      <c r="K161" s="34" t="str">
        <f t="shared" si="19"/>
        <v/>
      </c>
      <c r="L161" s="33">
        <f>IF(AND(C161="No",H161&gt;'Analysis Summary'!$B$5),1,0)</f>
        <v>0</v>
      </c>
      <c r="M161" s="33" t="str">
        <f>IF(L161=1,SUM($L$2:L161),"")</f>
        <v/>
      </c>
      <c r="N161" s="33" t="str">
        <f>IF(C161="Yes",COUNTIF($C$2:C161,"Yes"),"")</f>
        <v/>
      </c>
      <c r="P161" s="37">
        <v>160</v>
      </c>
      <c r="Q161" s="32">
        <f t="shared" si="20"/>
        <v>45933</v>
      </c>
      <c r="R161" s="34">
        <f t="shared" si="21"/>
        <v>1669</v>
      </c>
      <c r="S161" s="35">
        <f t="shared" si="22"/>
        <v>31</v>
      </c>
      <c r="T161" s="34">
        <f t="shared" si="23"/>
        <v>13107</v>
      </c>
    </row>
    <row r="162" spans="1:20" x14ac:dyDescent="0.25">
      <c r="A162" s="32">
        <f>'Daily Energy'!A162</f>
        <v>45908</v>
      </c>
      <c r="B162" s="33" t="str">
        <f>'Daily Energy'!B162</f>
        <v>Monday</v>
      </c>
      <c r="C162" s="33" t="str">
        <f>'Daily Energy'!C162</f>
        <v>Yes</v>
      </c>
      <c r="D162" s="34">
        <f>'Daily Energy'!D162</f>
        <v>1861</v>
      </c>
      <c r="E162" s="35">
        <f>'Daily Energy'!E162</f>
        <v>32.1</v>
      </c>
      <c r="F162" s="34">
        <f>'Daily Energy'!F162</f>
        <v>13132</v>
      </c>
      <c r="G162" s="34">
        <f>'Daily Energy'!G162</f>
        <v>253</v>
      </c>
      <c r="H162" s="34">
        <f t="shared" si="16"/>
        <v>13385</v>
      </c>
      <c r="I162" s="36">
        <f t="shared" si="17"/>
        <v>45901</v>
      </c>
      <c r="J162" s="34" t="str">
        <f t="shared" si="18"/>
        <v/>
      </c>
      <c r="K162" s="34">
        <f t="shared" si="19"/>
        <v>13385</v>
      </c>
      <c r="L162" s="33">
        <f>IF(AND(C162="No",H162&gt;'Analysis Summary'!$B$5),1,0)</f>
        <v>0</v>
      </c>
      <c r="M162" s="33" t="str">
        <f>IF(L162=1,SUM($L$2:L162),"")</f>
        <v/>
      </c>
      <c r="N162" s="33">
        <f>IF(C162="Yes",COUNTIF($C$2:C162,"Yes"),"")</f>
        <v>138</v>
      </c>
      <c r="P162" s="37">
        <v>161</v>
      </c>
      <c r="Q162" s="32">
        <f t="shared" si="20"/>
        <v>45934</v>
      </c>
      <c r="R162" s="34">
        <f t="shared" si="21"/>
        <v>1487</v>
      </c>
      <c r="S162" s="35">
        <f t="shared" si="22"/>
        <v>29.2</v>
      </c>
      <c r="T162" s="34">
        <f t="shared" si="23"/>
        <v>12035</v>
      </c>
    </row>
    <row r="163" spans="1:20" x14ac:dyDescent="0.25">
      <c r="A163" s="32">
        <f>'Daily Energy'!A163</f>
        <v>45909</v>
      </c>
      <c r="B163" s="33" t="str">
        <f>'Daily Energy'!B163</f>
        <v>Tuesday</v>
      </c>
      <c r="C163" s="33" t="str">
        <f>'Daily Energy'!C163</f>
        <v>Yes</v>
      </c>
      <c r="D163" s="34">
        <f>'Daily Energy'!D163</f>
        <v>1944</v>
      </c>
      <c r="E163" s="35">
        <f>'Daily Energy'!E163</f>
        <v>30.5</v>
      </c>
      <c r="F163" s="34">
        <f>'Daily Energy'!F163</f>
        <v>12883</v>
      </c>
      <c r="G163" s="34">
        <f>'Daily Energy'!G163</f>
        <v>662</v>
      </c>
      <c r="H163" s="34">
        <f t="shared" si="16"/>
        <v>13545</v>
      </c>
      <c r="I163" s="36">
        <f t="shared" si="17"/>
        <v>45901</v>
      </c>
      <c r="J163" s="34" t="str">
        <f t="shared" si="18"/>
        <v/>
      </c>
      <c r="K163" s="34">
        <f t="shared" si="19"/>
        <v>13545</v>
      </c>
      <c r="L163" s="33">
        <f>IF(AND(C163="No",H163&gt;'Analysis Summary'!$B$5),1,0)</f>
        <v>0</v>
      </c>
      <c r="M163" s="33" t="str">
        <f>IF(L163=1,SUM($L$2:L163),"")</f>
        <v/>
      </c>
      <c r="N163" s="33">
        <f>IF(C163="Yes",COUNTIF($C$2:C163,"Yes"),"")</f>
        <v>139</v>
      </c>
      <c r="P163" s="37">
        <v>162</v>
      </c>
      <c r="Q163" s="32">
        <f t="shared" si="20"/>
        <v>45936</v>
      </c>
      <c r="R163" s="34">
        <f t="shared" si="21"/>
        <v>1883</v>
      </c>
      <c r="S163" s="35">
        <f t="shared" si="22"/>
        <v>29.2</v>
      </c>
      <c r="T163" s="34">
        <f t="shared" si="23"/>
        <v>14544</v>
      </c>
    </row>
    <row r="164" spans="1:20" x14ac:dyDescent="0.25">
      <c r="A164" s="32">
        <f>'Daily Energy'!A164</f>
        <v>45910</v>
      </c>
      <c r="B164" s="33" t="str">
        <f>'Daily Energy'!B164</f>
        <v>Wednesday</v>
      </c>
      <c r="C164" s="33" t="str">
        <f>'Daily Energy'!C164</f>
        <v>Yes</v>
      </c>
      <c r="D164" s="34">
        <f>'Daily Energy'!D164</f>
        <v>1862</v>
      </c>
      <c r="E164" s="35">
        <f>'Daily Energy'!E164</f>
        <v>30.8</v>
      </c>
      <c r="F164" s="34">
        <f>'Daily Energy'!F164</f>
        <v>13156</v>
      </c>
      <c r="G164" s="34">
        <f>'Daily Energy'!G164</f>
        <v>715</v>
      </c>
      <c r="H164" s="34">
        <f t="shared" si="16"/>
        <v>13871</v>
      </c>
      <c r="I164" s="36">
        <f t="shared" si="17"/>
        <v>45901</v>
      </c>
      <c r="J164" s="34" t="str">
        <f t="shared" si="18"/>
        <v/>
      </c>
      <c r="K164" s="34">
        <f t="shared" si="19"/>
        <v>13871</v>
      </c>
      <c r="L164" s="33">
        <f>IF(AND(C164="No",H164&gt;'Analysis Summary'!$B$5),1,0)</f>
        <v>0</v>
      </c>
      <c r="M164" s="33" t="str">
        <f>IF(L164=1,SUM($L$2:L164),"")</f>
        <v/>
      </c>
      <c r="N164" s="33">
        <f>IF(C164="Yes",COUNTIF($C$2:C164,"Yes"),"")</f>
        <v>140</v>
      </c>
      <c r="P164" s="37">
        <v>163</v>
      </c>
      <c r="Q164" s="32">
        <f t="shared" si="20"/>
        <v>45937</v>
      </c>
      <c r="R164" s="34">
        <f t="shared" si="21"/>
        <v>1533</v>
      </c>
      <c r="S164" s="35">
        <f t="shared" si="22"/>
        <v>28.6</v>
      </c>
      <c r="T164" s="34">
        <f t="shared" si="23"/>
        <v>11590</v>
      </c>
    </row>
    <row r="165" spans="1:20" x14ac:dyDescent="0.25">
      <c r="A165" s="32">
        <f>'Daily Energy'!A165</f>
        <v>45911</v>
      </c>
      <c r="B165" s="33" t="str">
        <f>'Daily Energy'!B165</f>
        <v>Thursday</v>
      </c>
      <c r="C165" s="33" t="str">
        <f>'Daily Energy'!C165</f>
        <v>Yes</v>
      </c>
      <c r="D165" s="34">
        <f>'Daily Energy'!D165</f>
        <v>1801</v>
      </c>
      <c r="E165" s="35">
        <f>'Daily Energy'!E165</f>
        <v>31.4</v>
      </c>
      <c r="F165" s="34">
        <f>'Daily Energy'!F165</f>
        <v>13049</v>
      </c>
      <c r="G165" s="34">
        <f>'Daily Energy'!G165</f>
        <v>805</v>
      </c>
      <c r="H165" s="34">
        <f t="shared" si="16"/>
        <v>13854</v>
      </c>
      <c r="I165" s="36">
        <f t="shared" si="17"/>
        <v>45901</v>
      </c>
      <c r="J165" s="34" t="str">
        <f t="shared" si="18"/>
        <v/>
      </c>
      <c r="K165" s="34">
        <f t="shared" si="19"/>
        <v>13854</v>
      </c>
      <c r="L165" s="33">
        <f>IF(AND(C165="No",H165&gt;'Analysis Summary'!$B$5),1,0)</f>
        <v>0</v>
      </c>
      <c r="M165" s="33" t="str">
        <f>IF(L165=1,SUM($L$2:L165),"")</f>
        <v/>
      </c>
      <c r="N165" s="33">
        <f>IF(C165="Yes",COUNTIF($C$2:C165,"Yes"),"")</f>
        <v>141</v>
      </c>
      <c r="P165" s="37">
        <v>164</v>
      </c>
      <c r="Q165" s="32">
        <f t="shared" si="20"/>
        <v>45938</v>
      </c>
      <c r="R165" s="34">
        <f t="shared" si="21"/>
        <v>2030</v>
      </c>
      <c r="S165" s="35">
        <f t="shared" si="22"/>
        <v>30.8</v>
      </c>
      <c r="T165" s="34">
        <f t="shared" si="23"/>
        <v>15293</v>
      </c>
    </row>
    <row r="166" spans="1:20" x14ac:dyDescent="0.25">
      <c r="A166" s="32">
        <f>'Daily Energy'!A166</f>
        <v>45912</v>
      </c>
      <c r="B166" s="33" t="str">
        <f>'Daily Energy'!B166</f>
        <v>Friday</v>
      </c>
      <c r="C166" s="33" t="str">
        <f>'Daily Energy'!C166</f>
        <v>Yes</v>
      </c>
      <c r="D166" s="34">
        <f>'Daily Energy'!D166</f>
        <v>1918</v>
      </c>
      <c r="E166" s="35">
        <f>'Daily Energy'!E166</f>
        <v>30</v>
      </c>
      <c r="F166" s="34">
        <f>'Daily Energy'!F166</f>
        <v>13355</v>
      </c>
      <c r="G166" s="34">
        <f>'Daily Energy'!G166</f>
        <v>576</v>
      </c>
      <c r="H166" s="34">
        <f t="shared" si="16"/>
        <v>13931</v>
      </c>
      <c r="I166" s="36">
        <f t="shared" si="17"/>
        <v>45901</v>
      </c>
      <c r="J166" s="34" t="str">
        <f t="shared" si="18"/>
        <v/>
      </c>
      <c r="K166" s="34">
        <f t="shared" si="19"/>
        <v>13931</v>
      </c>
      <c r="L166" s="33">
        <f>IF(AND(C166="No",H166&gt;'Analysis Summary'!$B$5),1,0)</f>
        <v>0</v>
      </c>
      <c r="M166" s="33" t="str">
        <f>IF(L166=1,SUM($L$2:L166),"")</f>
        <v/>
      </c>
      <c r="N166" s="33">
        <f>IF(C166="Yes",COUNTIF($C$2:C166,"Yes"),"")</f>
        <v>142</v>
      </c>
      <c r="P166" s="37">
        <v>165</v>
      </c>
      <c r="Q166" s="32">
        <f t="shared" si="20"/>
        <v>45939</v>
      </c>
      <c r="R166" s="34">
        <f t="shared" si="21"/>
        <v>1739</v>
      </c>
      <c r="S166" s="35">
        <f t="shared" si="22"/>
        <v>27.8</v>
      </c>
      <c r="T166" s="34">
        <f t="shared" si="23"/>
        <v>13356</v>
      </c>
    </row>
    <row r="167" spans="1:20" x14ac:dyDescent="0.25">
      <c r="A167" s="32">
        <f>'Daily Energy'!A167</f>
        <v>45913</v>
      </c>
      <c r="B167" s="33" t="str">
        <f>'Daily Energy'!B167</f>
        <v>Saturday</v>
      </c>
      <c r="C167" s="33" t="str">
        <f>'Daily Energy'!C167</f>
        <v>Yes</v>
      </c>
      <c r="D167" s="34">
        <f>'Daily Energy'!D167</f>
        <v>1742</v>
      </c>
      <c r="E167" s="35">
        <f>'Daily Energy'!E167</f>
        <v>29.7</v>
      </c>
      <c r="F167" s="34">
        <f>'Daily Energy'!F167</f>
        <v>12016</v>
      </c>
      <c r="G167" s="34">
        <f>'Daily Energy'!G167</f>
        <v>811</v>
      </c>
      <c r="H167" s="34">
        <f t="shared" si="16"/>
        <v>12827</v>
      </c>
      <c r="I167" s="36">
        <f t="shared" si="17"/>
        <v>45901</v>
      </c>
      <c r="J167" s="34" t="str">
        <f t="shared" si="18"/>
        <v/>
      </c>
      <c r="K167" s="34">
        <f t="shared" si="19"/>
        <v>12827</v>
      </c>
      <c r="L167" s="33">
        <f>IF(AND(C167="No",H167&gt;'Analysis Summary'!$B$5),1,0)</f>
        <v>0</v>
      </c>
      <c r="M167" s="33" t="str">
        <f>IF(L167=1,SUM($L$2:L167),"")</f>
        <v/>
      </c>
      <c r="N167" s="33">
        <f>IF(C167="Yes",COUNTIF($C$2:C167,"Yes"),"")</f>
        <v>143</v>
      </c>
      <c r="P167" s="37">
        <v>166</v>
      </c>
      <c r="Q167" s="32">
        <f t="shared" si="20"/>
        <v>45940</v>
      </c>
      <c r="R167" s="34">
        <f t="shared" si="21"/>
        <v>1729</v>
      </c>
      <c r="S167" s="35">
        <f t="shared" si="22"/>
        <v>28.6</v>
      </c>
      <c r="T167" s="34">
        <f t="shared" si="23"/>
        <v>13452</v>
      </c>
    </row>
    <row r="168" spans="1:20" x14ac:dyDescent="0.25">
      <c r="A168" s="32">
        <f>'Daily Energy'!A168</f>
        <v>45914</v>
      </c>
      <c r="B168" s="33" t="str">
        <f>'Daily Energy'!B168</f>
        <v>Sunday</v>
      </c>
      <c r="C168" s="33" t="str">
        <f>'Daily Energy'!C168</f>
        <v>No</v>
      </c>
      <c r="D168" s="34">
        <f>'Daily Energy'!D168</f>
        <v>0</v>
      </c>
      <c r="E168" s="35">
        <f>'Daily Energy'!E168</f>
        <v>31.4</v>
      </c>
      <c r="F168" s="34">
        <f>'Daily Energy'!F168</f>
        <v>3219</v>
      </c>
      <c r="G168" s="34">
        <f>'Daily Energy'!G168</f>
        <v>905</v>
      </c>
      <c r="H168" s="34">
        <f t="shared" si="16"/>
        <v>4124</v>
      </c>
      <c r="I168" s="36">
        <f t="shared" si="17"/>
        <v>45901</v>
      </c>
      <c r="J168" s="34">
        <f t="shared" si="18"/>
        <v>4124</v>
      </c>
      <c r="K168" s="34" t="str">
        <f t="shared" si="19"/>
        <v/>
      </c>
      <c r="L168" s="33">
        <f>IF(AND(C168="No",H168&gt;'Analysis Summary'!$B$5),1,0)</f>
        <v>0</v>
      </c>
      <c r="M168" s="33" t="str">
        <f>IF(L168=1,SUM($L$2:L168),"")</f>
        <v/>
      </c>
      <c r="N168" s="33" t="str">
        <f>IF(C168="Yes",COUNTIF($C$2:C168,"Yes"),"")</f>
        <v/>
      </c>
      <c r="P168" s="37">
        <v>167</v>
      </c>
      <c r="Q168" s="32">
        <f t="shared" si="20"/>
        <v>45941</v>
      </c>
      <c r="R168" s="34">
        <f t="shared" si="21"/>
        <v>1651</v>
      </c>
      <c r="S168" s="35">
        <f t="shared" si="22"/>
        <v>26.8</v>
      </c>
      <c r="T168" s="34">
        <f t="shared" si="23"/>
        <v>12952</v>
      </c>
    </row>
    <row r="169" spans="1:20" x14ac:dyDescent="0.25">
      <c r="A169" s="32">
        <f>'Daily Energy'!A169</f>
        <v>45915</v>
      </c>
      <c r="B169" s="33" t="str">
        <f>'Daily Energy'!B169</f>
        <v>Monday</v>
      </c>
      <c r="C169" s="33" t="str">
        <f>'Daily Energy'!C169</f>
        <v>Yes</v>
      </c>
      <c r="D169" s="34">
        <f>'Daily Energy'!D169</f>
        <v>1803</v>
      </c>
      <c r="E169" s="35">
        <f>'Daily Energy'!E169</f>
        <v>30.5</v>
      </c>
      <c r="F169" s="34">
        <f>'Daily Energy'!F169</f>
        <v>12922</v>
      </c>
      <c r="G169" s="34">
        <f>'Daily Energy'!G169</f>
        <v>827</v>
      </c>
      <c r="H169" s="34">
        <f t="shared" si="16"/>
        <v>13749</v>
      </c>
      <c r="I169" s="36">
        <f t="shared" si="17"/>
        <v>45901</v>
      </c>
      <c r="J169" s="34" t="str">
        <f t="shared" si="18"/>
        <v/>
      </c>
      <c r="K169" s="34">
        <f t="shared" si="19"/>
        <v>13749</v>
      </c>
      <c r="L169" s="33">
        <f>IF(AND(C169="No",H169&gt;'Analysis Summary'!$B$5),1,0)</f>
        <v>0</v>
      </c>
      <c r="M169" s="33" t="str">
        <f>IF(L169=1,SUM($L$2:L169),"")</f>
        <v/>
      </c>
      <c r="N169" s="33">
        <f>IF(C169="Yes",COUNTIF($C$2:C169,"Yes"),"")</f>
        <v>144</v>
      </c>
      <c r="P169" s="37">
        <v>168</v>
      </c>
      <c r="Q169" s="32">
        <f t="shared" si="20"/>
        <v>45943</v>
      </c>
      <c r="R169" s="34">
        <f t="shared" si="21"/>
        <v>1854</v>
      </c>
      <c r="S169" s="35">
        <f t="shared" si="22"/>
        <v>29.8</v>
      </c>
      <c r="T169" s="34">
        <f t="shared" si="23"/>
        <v>14015</v>
      </c>
    </row>
    <row r="170" spans="1:20" x14ac:dyDescent="0.25">
      <c r="A170" s="32">
        <f>'Daily Energy'!A170</f>
        <v>45916</v>
      </c>
      <c r="B170" s="33" t="str">
        <f>'Daily Energy'!B170</f>
        <v>Tuesday</v>
      </c>
      <c r="C170" s="33" t="str">
        <f>'Daily Energy'!C170</f>
        <v>Yes</v>
      </c>
      <c r="D170" s="34">
        <f>'Daily Energy'!D170</f>
        <v>1755</v>
      </c>
      <c r="E170" s="35">
        <f>'Daily Energy'!E170</f>
        <v>28.5</v>
      </c>
      <c r="F170" s="34">
        <f>'Daily Energy'!F170</f>
        <v>11754</v>
      </c>
      <c r="G170" s="34">
        <f>'Daily Energy'!G170</f>
        <v>580</v>
      </c>
      <c r="H170" s="34">
        <f t="shared" si="16"/>
        <v>12334</v>
      </c>
      <c r="I170" s="36">
        <f t="shared" si="17"/>
        <v>45901</v>
      </c>
      <c r="J170" s="34" t="str">
        <f t="shared" si="18"/>
        <v/>
      </c>
      <c r="K170" s="34">
        <f t="shared" si="19"/>
        <v>12334</v>
      </c>
      <c r="L170" s="33">
        <f>IF(AND(C170="No",H170&gt;'Analysis Summary'!$B$5),1,0)</f>
        <v>0</v>
      </c>
      <c r="M170" s="33" t="str">
        <f>IF(L170=1,SUM($L$2:L170),"")</f>
        <v/>
      </c>
      <c r="N170" s="33">
        <f>IF(C170="Yes",COUNTIF($C$2:C170,"Yes"),"")</f>
        <v>145</v>
      </c>
      <c r="P170" s="37">
        <v>169</v>
      </c>
      <c r="Q170" s="32">
        <f t="shared" si="20"/>
        <v>45944</v>
      </c>
      <c r="R170" s="34">
        <f t="shared" si="21"/>
        <v>1817</v>
      </c>
      <c r="S170" s="35">
        <f t="shared" si="22"/>
        <v>27.3</v>
      </c>
      <c r="T170" s="34">
        <f t="shared" si="23"/>
        <v>14141</v>
      </c>
    </row>
    <row r="171" spans="1:20" x14ac:dyDescent="0.25">
      <c r="A171" s="32">
        <f>'Daily Energy'!A171</f>
        <v>45917</v>
      </c>
      <c r="B171" s="33" t="str">
        <f>'Daily Energy'!B171</f>
        <v>Wednesday</v>
      </c>
      <c r="C171" s="33" t="str">
        <f>'Daily Energy'!C171</f>
        <v>Yes</v>
      </c>
      <c r="D171" s="34">
        <f>'Daily Energy'!D171</f>
        <v>1998</v>
      </c>
      <c r="E171" s="35">
        <f>'Daily Energy'!E171</f>
        <v>28.8</v>
      </c>
      <c r="F171" s="34">
        <f>'Daily Energy'!F171</f>
        <v>13856</v>
      </c>
      <c r="G171" s="34">
        <f>'Daily Energy'!G171</f>
        <v>514</v>
      </c>
      <c r="H171" s="34">
        <f t="shared" si="16"/>
        <v>14370</v>
      </c>
      <c r="I171" s="36">
        <f t="shared" si="17"/>
        <v>45901</v>
      </c>
      <c r="J171" s="34" t="str">
        <f t="shared" si="18"/>
        <v/>
      </c>
      <c r="K171" s="34">
        <f t="shared" si="19"/>
        <v>14370</v>
      </c>
      <c r="L171" s="33">
        <f>IF(AND(C171="No",H171&gt;'Analysis Summary'!$B$5),1,0)</f>
        <v>0</v>
      </c>
      <c r="M171" s="33" t="str">
        <f>IF(L171=1,SUM($L$2:L171),"")</f>
        <v/>
      </c>
      <c r="N171" s="33">
        <f>IF(C171="Yes",COUNTIF($C$2:C171,"Yes"),"")</f>
        <v>146</v>
      </c>
      <c r="P171" s="37">
        <v>170</v>
      </c>
      <c r="Q171" s="32">
        <f t="shared" si="20"/>
        <v>45945</v>
      </c>
      <c r="R171" s="34">
        <f t="shared" si="21"/>
        <v>1992</v>
      </c>
      <c r="S171" s="35">
        <f t="shared" si="22"/>
        <v>30.2</v>
      </c>
      <c r="T171" s="34">
        <f t="shared" si="23"/>
        <v>15131</v>
      </c>
    </row>
    <row r="172" spans="1:20" x14ac:dyDescent="0.25">
      <c r="A172" s="32">
        <f>'Daily Energy'!A172</f>
        <v>45918</v>
      </c>
      <c r="B172" s="33" t="str">
        <f>'Daily Energy'!B172</f>
        <v>Thursday</v>
      </c>
      <c r="C172" s="33" t="str">
        <f>'Daily Energy'!C172</f>
        <v>Yes</v>
      </c>
      <c r="D172" s="34">
        <f>'Daily Energy'!D172</f>
        <v>1504</v>
      </c>
      <c r="E172" s="35">
        <f>'Daily Energy'!E172</f>
        <v>28.3</v>
      </c>
      <c r="F172" s="34">
        <f>'Daily Energy'!F172</f>
        <v>10821</v>
      </c>
      <c r="G172" s="34">
        <f>'Daily Energy'!G172</f>
        <v>559</v>
      </c>
      <c r="H172" s="34">
        <f t="shared" si="16"/>
        <v>11380</v>
      </c>
      <c r="I172" s="36">
        <f t="shared" si="17"/>
        <v>45901</v>
      </c>
      <c r="J172" s="34" t="str">
        <f t="shared" si="18"/>
        <v/>
      </c>
      <c r="K172" s="34">
        <f t="shared" si="19"/>
        <v>11380</v>
      </c>
      <c r="L172" s="33">
        <f>IF(AND(C172="No",H172&gt;'Analysis Summary'!$B$5),1,0)</f>
        <v>0</v>
      </c>
      <c r="M172" s="33" t="str">
        <f>IF(L172=1,SUM($L$2:L172),"")</f>
        <v/>
      </c>
      <c r="N172" s="33">
        <f>IF(C172="Yes",COUNTIF($C$2:C172,"Yes"),"")</f>
        <v>147</v>
      </c>
      <c r="P172" s="37">
        <v>171</v>
      </c>
      <c r="Q172" s="32">
        <f t="shared" si="20"/>
        <v>45946</v>
      </c>
      <c r="R172" s="34">
        <f t="shared" si="21"/>
        <v>1835</v>
      </c>
      <c r="S172" s="35">
        <f t="shared" si="22"/>
        <v>28.5</v>
      </c>
      <c r="T172" s="34">
        <f t="shared" si="23"/>
        <v>14056</v>
      </c>
    </row>
    <row r="173" spans="1:20" x14ac:dyDescent="0.25">
      <c r="A173" s="32">
        <f>'Daily Energy'!A173</f>
        <v>45919</v>
      </c>
      <c r="B173" s="33" t="str">
        <f>'Daily Energy'!B173</f>
        <v>Friday</v>
      </c>
      <c r="C173" s="33" t="str">
        <f>'Daily Energy'!C173</f>
        <v>Yes</v>
      </c>
      <c r="D173" s="34">
        <f>'Daily Energy'!D173</f>
        <v>1832</v>
      </c>
      <c r="E173" s="35">
        <f>'Daily Energy'!E173</f>
        <v>29.1</v>
      </c>
      <c r="F173" s="34">
        <f>'Daily Energy'!F173</f>
        <v>12581</v>
      </c>
      <c r="G173" s="34">
        <f>'Daily Energy'!G173</f>
        <v>562</v>
      </c>
      <c r="H173" s="34">
        <f t="shared" si="16"/>
        <v>13143</v>
      </c>
      <c r="I173" s="36">
        <f t="shared" si="17"/>
        <v>45901</v>
      </c>
      <c r="J173" s="34" t="str">
        <f t="shared" si="18"/>
        <v/>
      </c>
      <c r="K173" s="34">
        <f t="shared" si="19"/>
        <v>13143</v>
      </c>
      <c r="L173" s="33">
        <f>IF(AND(C173="No",H173&gt;'Analysis Summary'!$B$5),1,0)</f>
        <v>0</v>
      </c>
      <c r="M173" s="33" t="str">
        <f>IF(L173=1,SUM($L$2:L173),"")</f>
        <v/>
      </c>
      <c r="N173" s="33">
        <f>IF(C173="Yes",COUNTIF($C$2:C173,"Yes"),"")</f>
        <v>148</v>
      </c>
      <c r="P173" s="37">
        <v>172</v>
      </c>
      <c r="Q173" s="32">
        <f t="shared" si="20"/>
        <v>45947</v>
      </c>
      <c r="R173" s="34">
        <f t="shared" si="21"/>
        <v>2084</v>
      </c>
      <c r="S173" s="35">
        <f t="shared" si="22"/>
        <v>25.8</v>
      </c>
      <c r="T173" s="34">
        <f t="shared" si="23"/>
        <v>14473</v>
      </c>
    </row>
    <row r="174" spans="1:20" x14ac:dyDescent="0.25">
      <c r="A174" s="32">
        <f>'Daily Energy'!A174</f>
        <v>45920</v>
      </c>
      <c r="B174" s="33" t="str">
        <f>'Daily Energy'!B174</f>
        <v>Saturday</v>
      </c>
      <c r="C174" s="33" t="str">
        <f>'Daily Energy'!C174</f>
        <v>Yes</v>
      </c>
      <c r="D174" s="34">
        <f>'Daily Energy'!D174</f>
        <v>1923</v>
      </c>
      <c r="E174" s="35">
        <f>'Daily Energy'!E174</f>
        <v>27.3</v>
      </c>
      <c r="F174" s="34">
        <f>'Daily Energy'!F174</f>
        <v>12833</v>
      </c>
      <c r="G174" s="34">
        <f>'Daily Energy'!G174</f>
        <v>707</v>
      </c>
      <c r="H174" s="34">
        <f t="shared" si="16"/>
        <v>13540</v>
      </c>
      <c r="I174" s="36">
        <f t="shared" si="17"/>
        <v>45901</v>
      </c>
      <c r="J174" s="34" t="str">
        <f t="shared" si="18"/>
        <v/>
      </c>
      <c r="K174" s="34">
        <f t="shared" si="19"/>
        <v>13540</v>
      </c>
      <c r="L174" s="33">
        <f>IF(AND(C174="No",H174&gt;'Analysis Summary'!$B$5),1,0)</f>
        <v>0</v>
      </c>
      <c r="M174" s="33" t="str">
        <f>IF(L174=1,SUM($L$2:L174),"")</f>
        <v/>
      </c>
      <c r="N174" s="33">
        <f>IF(C174="Yes",COUNTIF($C$2:C174,"Yes"),"")</f>
        <v>149</v>
      </c>
      <c r="P174" s="37">
        <v>173</v>
      </c>
      <c r="Q174" s="32">
        <f t="shared" si="20"/>
        <v>45948</v>
      </c>
      <c r="R174" s="34">
        <f t="shared" si="21"/>
        <v>1908</v>
      </c>
      <c r="S174" s="35">
        <f t="shared" si="22"/>
        <v>25.7</v>
      </c>
      <c r="T174" s="34">
        <f t="shared" si="23"/>
        <v>13758</v>
      </c>
    </row>
    <row r="175" spans="1:20" x14ac:dyDescent="0.25">
      <c r="A175" s="32">
        <f>'Daily Energy'!A175</f>
        <v>45921</v>
      </c>
      <c r="B175" s="33" t="str">
        <f>'Daily Energy'!B175</f>
        <v>Sunday</v>
      </c>
      <c r="C175" s="33" t="str">
        <f>'Daily Energy'!C175</f>
        <v>No</v>
      </c>
      <c r="D175" s="34">
        <f>'Daily Energy'!D175</f>
        <v>0</v>
      </c>
      <c r="E175" s="35">
        <f>'Daily Energy'!E175</f>
        <v>28.7</v>
      </c>
      <c r="F175" s="34">
        <f>'Daily Energy'!F175</f>
        <v>2685</v>
      </c>
      <c r="G175" s="34">
        <f>'Daily Energy'!G175</f>
        <v>728</v>
      </c>
      <c r="H175" s="34">
        <f t="shared" si="16"/>
        <v>3413</v>
      </c>
      <c r="I175" s="36">
        <f t="shared" si="17"/>
        <v>45901</v>
      </c>
      <c r="J175" s="34">
        <f t="shared" si="18"/>
        <v>3413</v>
      </c>
      <c r="K175" s="34" t="str">
        <f t="shared" si="19"/>
        <v/>
      </c>
      <c r="L175" s="33">
        <f>IF(AND(C175="No",H175&gt;'Analysis Summary'!$B$5),1,0)</f>
        <v>0</v>
      </c>
      <c r="M175" s="33" t="str">
        <f>IF(L175=1,SUM($L$2:L175),"")</f>
        <v/>
      </c>
      <c r="N175" s="33" t="str">
        <f>IF(C175="Yes",COUNTIF($C$2:C175,"Yes"),"")</f>
        <v/>
      </c>
      <c r="P175" s="37">
        <v>174</v>
      </c>
      <c r="Q175" s="32">
        <f t="shared" si="20"/>
        <v>45950</v>
      </c>
      <c r="R175" s="34">
        <f t="shared" si="21"/>
        <v>2159</v>
      </c>
      <c r="S175" s="35">
        <f t="shared" si="22"/>
        <v>27.3</v>
      </c>
      <c r="T175" s="34">
        <f t="shared" si="23"/>
        <v>16192</v>
      </c>
    </row>
    <row r="176" spans="1:20" x14ac:dyDescent="0.25">
      <c r="A176" s="32">
        <f>'Daily Energy'!A176</f>
        <v>45922</v>
      </c>
      <c r="B176" s="33" t="str">
        <f>'Daily Energy'!B176</f>
        <v>Monday</v>
      </c>
      <c r="C176" s="33" t="str">
        <f>'Daily Energy'!C176</f>
        <v>Yes</v>
      </c>
      <c r="D176" s="34">
        <f>'Daily Energy'!D176</f>
        <v>1678</v>
      </c>
      <c r="E176" s="35">
        <f>'Daily Energy'!E176</f>
        <v>30.3</v>
      </c>
      <c r="F176" s="34">
        <f>'Daily Energy'!F176</f>
        <v>12123</v>
      </c>
      <c r="G176" s="34">
        <f>'Daily Energy'!G176</f>
        <v>950</v>
      </c>
      <c r="H176" s="34">
        <f t="shared" si="16"/>
        <v>13073</v>
      </c>
      <c r="I176" s="36">
        <f t="shared" si="17"/>
        <v>45901</v>
      </c>
      <c r="J176" s="34" t="str">
        <f t="shared" si="18"/>
        <v/>
      </c>
      <c r="K176" s="34">
        <f t="shared" si="19"/>
        <v>13073</v>
      </c>
      <c r="L176" s="33">
        <f>IF(AND(C176="No",H176&gt;'Analysis Summary'!$B$5),1,0)</f>
        <v>0</v>
      </c>
      <c r="M176" s="33" t="str">
        <f>IF(L176=1,SUM($L$2:L176),"")</f>
        <v/>
      </c>
      <c r="N176" s="33">
        <f>IF(C176="Yes",COUNTIF($C$2:C176,"Yes"),"")</f>
        <v>150</v>
      </c>
      <c r="P176" s="37">
        <v>175</v>
      </c>
      <c r="Q176" s="32">
        <f t="shared" si="20"/>
        <v>45951</v>
      </c>
      <c r="R176" s="34">
        <f t="shared" si="21"/>
        <v>1984</v>
      </c>
      <c r="S176" s="35">
        <f t="shared" si="22"/>
        <v>24.9</v>
      </c>
      <c r="T176" s="34">
        <f t="shared" si="23"/>
        <v>14534</v>
      </c>
    </row>
    <row r="177" spans="1:20" x14ac:dyDescent="0.25">
      <c r="A177" s="32">
        <f>'Daily Energy'!A177</f>
        <v>45923</v>
      </c>
      <c r="B177" s="33" t="str">
        <f>'Daily Energy'!B177</f>
        <v>Tuesday</v>
      </c>
      <c r="C177" s="33" t="str">
        <f>'Daily Energy'!C177</f>
        <v>Yes</v>
      </c>
      <c r="D177" s="34">
        <f>'Daily Energy'!D177</f>
        <v>1908</v>
      </c>
      <c r="E177" s="35">
        <f>'Daily Energy'!E177</f>
        <v>34.1</v>
      </c>
      <c r="F177" s="34">
        <f>'Daily Energy'!F177</f>
        <v>14384</v>
      </c>
      <c r="G177" s="34">
        <f>'Daily Energy'!G177</f>
        <v>552</v>
      </c>
      <c r="H177" s="34">
        <f t="shared" si="16"/>
        <v>14936</v>
      </c>
      <c r="I177" s="36">
        <f t="shared" si="17"/>
        <v>45901</v>
      </c>
      <c r="J177" s="34" t="str">
        <f t="shared" si="18"/>
        <v/>
      </c>
      <c r="K177" s="34">
        <f t="shared" si="19"/>
        <v>14936</v>
      </c>
      <c r="L177" s="33">
        <f>IF(AND(C177="No",H177&gt;'Analysis Summary'!$B$5),1,0)</f>
        <v>0</v>
      </c>
      <c r="M177" s="33" t="str">
        <f>IF(L177=1,SUM($L$2:L177),"")</f>
        <v/>
      </c>
      <c r="N177" s="33">
        <f>IF(C177="Yes",COUNTIF($C$2:C177,"Yes"),"")</f>
        <v>151</v>
      </c>
      <c r="P177" s="37">
        <v>176</v>
      </c>
      <c r="Q177" s="32">
        <f t="shared" si="20"/>
        <v>45952</v>
      </c>
      <c r="R177" s="34">
        <f t="shared" si="21"/>
        <v>1622</v>
      </c>
      <c r="S177" s="35">
        <f t="shared" si="22"/>
        <v>28.7</v>
      </c>
      <c r="T177" s="34">
        <f t="shared" si="23"/>
        <v>12679</v>
      </c>
    </row>
    <row r="178" spans="1:20" x14ac:dyDescent="0.25">
      <c r="A178" s="32">
        <f>'Daily Energy'!A178</f>
        <v>45924</v>
      </c>
      <c r="B178" s="33" t="str">
        <f>'Daily Energy'!B178</f>
        <v>Wednesday</v>
      </c>
      <c r="C178" s="33" t="str">
        <f>'Daily Energy'!C178</f>
        <v>Yes</v>
      </c>
      <c r="D178" s="34">
        <f>'Daily Energy'!D178</f>
        <v>1399</v>
      </c>
      <c r="E178" s="35">
        <f>'Daily Energy'!E178</f>
        <v>27.5</v>
      </c>
      <c r="F178" s="34">
        <f>'Daily Energy'!F178</f>
        <v>10136</v>
      </c>
      <c r="G178" s="34">
        <f>'Daily Energy'!G178</f>
        <v>704</v>
      </c>
      <c r="H178" s="34">
        <f t="shared" si="16"/>
        <v>10840</v>
      </c>
      <c r="I178" s="36">
        <f t="shared" si="17"/>
        <v>45901</v>
      </c>
      <c r="J178" s="34" t="str">
        <f t="shared" si="18"/>
        <v/>
      </c>
      <c r="K178" s="34">
        <f t="shared" si="19"/>
        <v>10840</v>
      </c>
      <c r="L178" s="33">
        <f>IF(AND(C178="No",H178&gt;'Analysis Summary'!$B$5),1,0)</f>
        <v>0</v>
      </c>
      <c r="M178" s="33" t="str">
        <f>IF(L178=1,SUM($L$2:L178),"")</f>
        <v/>
      </c>
      <c r="N178" s="33">
        <f>IF(C178="Yes",COUNTIF($C$2:C178,"Yes"),"")</f>
        <v>152</v>
      </c>
      <c r="P178" s="37">
        <v>177</v>
      </c>
      <c r="Q178" s="32">
        <f t="shared" si="20"/>
        <v>45953</v>
      </c>
      <c r="R178" s="34">
        <f t="shared" si="21"/>
        <v>1851</v>
      </c>
      <c r="S178" s="35">
        <f t="shared" si="22"/>
        <v>25.8</v>
      </c>
      <c r="T178" s="34">
        <f t="shared" si="23"/>
        <v>14120</v>
      </c>
    </row>
    <row r="179" spans="1:20" x14ac:dyDescent="0.25">
      <c r="A179" s="32">
        <f>'Daily Energy'!A179</f>
        <v>45925</v>
      </c>
      <c r="B179" s="33" t="str">
        <f>'Daily Energy'!B179</f>
        <v>Thursday</v>
      </c>
      <c r="C179" s="33" t="str">
        <f>'Daily Energy'!C179</f>
        <v>Yes</v>
      </c>
      <c r="D179" s="34">
        <f>'Daily Energy'!D179</f>
        <v>1708</v>
      </c>
      <c r="E179" s="35">
        <f>'Daily Energy'!E179</f>
        <v>32.200000000000003</v>
      </c>
      <c r="F179" s="34">
        <f>'Daily Energy'!F179</f>
        <v>12619</v>
      </c>
      <c r="G179" s="34">
        <f>'Daily Energy'!G179</f>
        <v>843</v>
      </c>
      <c r="H179" s="34">
        <f t="shared" si="16"/>
        <v>13462</v>
      </c>
      <c r="I179" s="36">
        <f t="shared" si="17"/>
        <v>45901</v>
      </c>
      <c r="J179" s="34" t="str">
        <f t="shared" si="18"/>
        <v/>
      </c>
      <c r="K179" s="34">
        <f t="shared" si="19"/>
        <v>13462</v>
      </c>
      <c r="L179" s="33">
        <f>IF(AND(C179="No",H179&gt;'Analysis Summary'!$B$5),1,0)</f>
        <v>0</v>
      </c>
      <c r="M179" s="33" t="str">
        <f>IF(L179=1,SUM($L$2:L179),"")</f>
        <v/>
      </c>
      <c r="N179" s="33">
        <f>IF(C179="Yes",COUNTIF($C$2:C179,"Yes"),"")</f>
        <v>153</v>
      </c>
      <c r="P179" s="37">
        <v>178</v>
      </c>
      <c r="Q179" s="32">
        <f t="shared" si="20"/>
        <v>45954</v>
      </c>
      <c r="R179" s="34">
        <f t="shared" si="21"/>
        <v>1820</v>
      </c>
      <c r="S179" s="35">
        <f t="shared" si="22"/>
        <v>26.9</v>
      </c>
      <c r="T179" s="34">
        <f t="shared" si="23"/>
        <v>13858</v>
      </c>
    </row>
    <row r="180" spans="1:20" x14ac:dyDescent="0.25">
      <c r="A180" s="32">
        <f>'Daily Energy'!A180</f>
        <v>45926</v>
      </c>
      <c r="B180" s="33" t="str">
        <f>'Daily Energy'!B180</f>
        <v>Friday</v>
      </c>
      <c r="C180" s="33" t="str">
        <f>'Daily Energy'!C180</f>
        <v>Yes</v>
      </c>
      <c r="D180" s="34">
        <f>'Daily Energy'!D180</f>
        <v>1954</v>
      </c>
      <c r="E180" s="35">
        <f>'Daily Energy'!E180</f>
        <v>27.4</v>
      </c>
      <c r="F180" s="34">
        <f>'Daily Energy'!F180</f>
        <v>12952</v>
      </c>
      <c r="G180" s="34">
        <f>'Daily Energy'!G180</f>
        <v>509</v>
      </c>
      <c r="H180" s="34">
        <f t="shared" si="16"/>
        <v>13461</v>
      </c>
      <c r="I180" s="36">
        <f t="shared" si="17"/>
        <v>45901</v>
      </c>
      <c r="J180" s="34" t="str">
        <f t="shared" si="18"/>
        <v/>
      </c>
      <c r="K180" s="34">
        <f t="shared" si="19"/>
        <v>13461</v>
      </c>
      <c r="L180" s="33">
        <f>IF(AND(C180="No",H180&gt;'Analysis Summary'!$B$5),1,0)</f>
        <v>0</v>
      </c>
      <c r="M180" s="33" t="str">
        <f>IF(L180=1,SUM($L$2:L180),"")</f>
        <v/>
      </c>
      <c r="N180" s="33">
        <f>IF(C180="Yes",COUNTIF($C$2:C180,"Yes"),"")</f>
        <v>154</v>
      </c>
      <c r="P180" s="37">
        <v>179</v>
      </c>
      <c r="Q180" s="32">
        <f t="shared" si="20"/>
        <v>45955</v>
      </c>
      <c r="R180" s="34">
        <f t="shared" si="21"/>
        <v>1847</v>
      </c>
      <c r="S180" s="35">
        <f t="shared" si="22"/>
        <v>26.2</v>
      </c>
      <c r="T180" s="34">
        <f t="shared" si="23"/>
        <v>13251</v>
      </c>
    </row>
    <row r="181" spans="1:20" x14ac:dyDescent="0.25">
      <c r="A181" s="32">
        <f>'Daily Energy'!A181</f>
        <v>45927</v>
      </c>
      <c r="B181" s="33" t="str">
        <f>'Daily Energy'!B181</f>
        <v>Saturday</v>
      </c>
      <c r="C181" s="33" t="str">
        <f>'Daily Energy'!C181</f>
        <v>Yes</v>
      </c>
      <c r="D181" s="34">
        <f>'Daily Energy'!D181</f>
        <v>1844</v>
      </c>
      <c r="E181" s="35">
        <f>'Daily Energy'!E181</f>
        <v>29.4</v>
      </c>
      <c r="F181" s="34">
        <f>'Daily Energy'!F181</f>
        <v>12985</v>
      </c>
      <c r="G181" s="34">
        <f>'Daily Energy'!G181</f>
        <v>328</v>
      </c>
      <c r="H181" s="34">
        <f t="shared" si="16"/>
        <v>13313</v>
      </c>
      <c r="I181" s="36">
        <f t="shared" si="17"/>
        <v>45901</v>
      </c>
      <c r="J181" s="34" t="str">
        <f t="shared" si="18"/>
        <v/>
      </c>
      <c r="K181" s="34">
        <f t="shared" si="19"/>
        <v>13313</v>
      </c>
      <c r="L181" s="33">
        <f>IF(AND(C181="No",H181&gt;'Analysis Summary'!$B$5),1,0)</f>
        <v>0</v>
      </c>
      <c r="M181" s="33" t="str">
        <f>IF(L181=1,SUM($L$2:L181),"")</f>
        <v/>
      </c>
      <c r="N181" s="33">
        <f>IF(C181="Yes",COUNTIF($C$2:C181,"Yes"),"")</f>
        <v>155</v>
      </c>
      <c r="P181" s="37">
        <v>180</v>
      </c>
      <c r="Q181" s="32">
        <f t="shared" si="20"/>
        <v>45957</v>
      </c>
      <c r="R181" s="34">
        <f t="shared" si="21"/>
        <v>1996</v>
      </c>
      <c r="S181" s="35">
        <f t="shared" si="22"/>
        <v>24.8</v>
      </c>
      <c r="T181" s="34">
        <f t="shared" si="23"/>
        <v>14071</v>
      </c>
    </row>
    <row r="182" spans="1:20" x14ac:dyDescent="0.25">
      <c r="A182" s="32">
        <f>'Daily Energy'!A182</f>
        <v>45928</v>
      </c>
      <c r="B182" s="33" t="str">
        <f>'Daily Energy'!B182</f>
        <v>Sunday</v>
      </c>
      <c r="C182" s="33" t="str">
        <f>'Daily Energy'!C182</f>
        <v>No</v>
      </c>
      <c r="D182" s="34">
        <f>'Daily Energy'!D182</f>
        <v>0</v>
      </c>
      <c r="E182" s="35">
        <f>'Daily Energy'!E182</f>
        <v>27.1</v>
      </c>
      <c r="F182" s="34">
        <f>'Daily Energy'!F182</f>
        <v>2494</v>
      </c>
      <c r="G182" s="34">
        <f>'Daily Energy'!G182</f>
        <v>1033</v>
      </c>
      <c r="H182" s="34">
        <f t="shared" si="16"/>
        <v>3527</v>
      </c>
      <c r="I182" s="36">
        <f t="shared" si="17"/>
        <v>45901</v>
      </c>
      <c r="J182" s="34">
        <f t="shared" si="18"/>
        <v>3527</v>
      </c>
      <c r="K182" s="34" t="str">
        <f t="shared" si="19"/>
        <v/>
      </c>
      <c r="L182" s="33">
        <f>IF(AND(C182="No",H182&gt;'Analysis Summary'!$B$5),1,0)</f>
        <v>0</v>
      </c>
      <c r="M182" s="33" t="str">
        <f>IF(L182=1,SUM($L$2:L182),"")</f>
        <v/>
      </c>
      <c r="N182" s="33" t="str">
        <f>IF(C182="Yes",COUNTIF($C$2:C182,"Yes"),"")</f>
        <v/>
      </c>
      <c r="P182" s="37">
        <v>181</v>
      </c>
      <c r="Q182" s="32">
        <f t="shared" si="20"/>
        <v>45958</v>
      </c>
      <c r="R182" s="34">
        <f t="shared" si="21"/>
        <v>1727</v>
      </c>
      <c r="S182" s="35">
        <f t="shared" si="22"/>
        <v>26.6</v>
      </c>
      <c r="T182" s="34">
        <f t="shared" si="23"/>
        <v>12796</v>
      </c>
    </row>
    <row r="183" spans="1:20" x14ac:dyDescent="0.25">
      <c r="A183" s="32">
        <f>'Daily Energy'!A183</f>
        <v>45929</v>
      </c>
      <c r="B183" s="33" t="str">
        <f>'Daily Energy'!B183</f>
        <v>Monday</v>
      </c>
      <c r="C183" s="33" t="str">
        <f>'Daily Energy'!C183</f>
        <v>Yes</v>
      </c>
      <c r="D183" s="34">
        <f>'Daily Energy'!D183</f>
        <v>1943</v>
      </c>
      <c r="E183" s="35">
        <f>'Daily Energy'!E183</f>
        <v>28.7</v>
      </c>
      <c r="F183" s="34">
        <f>'Daily Energy'!F183</f>
        <v>13149</v>
      </c>
      <c r="G183" s="34">
        <f>'Daily Energy'!G183</f>
        <v>806</v>
      </c>
      <c r="H183" s="34">
        <f t="shared" si="16"/>
        <v>13955</v>
      </c>
      <c r="I183" s="36">
        <f t="shared" si="17"/>
        <v>45901</v>
      </c>
      <c r="J183" s="34" t="str">
        <f t="shared" si="18"/>
        <v/>
      </c>
      <c r="K183" s="34">
        <f t="shared" si="19"/>
        <v>13955</v>
      </c>
      <c r="L183" s="33">
        <f>IF(AND(C183="No",H183&gt;'Analysis Summary'!$B$5),1,0)</f>
        <v>0</v>
      </c>
      <c r="M183" s="33" t="str">
        <f>IF(L183=1,SUM($L$2:L183),"")</f>
        <v/>
      </c>
      <c r="N183" s="33">
        <f>IF(C183="Yes",COUNTIF($C$2:C183,"Yes"),"")</f>
        <v>156</v>
      </c>
      <c r="P183" s="37">
        <v>182</v>
      </c>
      <c r="Q183" s="32">
        <f t="shared" si="20"/>
        <v>45959</v>
      </c>
      <c r="R183" s="34">
        <f t="shared" si="21"/>
        <v>1801</v>
      </c>
      <c r="S183" s="35">
        <f t="shared" si="22"/>
        <v>25.1</v>
      </c>
      <c r="T183" s="34">
        <f t="shared" si="23"/>
        <v>13567</v>
      </c>
    </row>
    <row r="184" spans="1:20" x14ac:dyDescent="0.25">
      <c r="A184" s="32">
        <f>'Daily Energy'!A184</f>
        <v>45930</v>
      </c>
      <c r="B184" s="33" t="str">
        <f>'Daily Energy'!B184</f>
        <v>Tuesday</v>
      </c>
      <c r="C184" s="33" t="str">
        <f>'Daily Energy'!C184</f>
        <v>Yes</v>
      </c>
      <c r="D184" s="34">
        <f>'Daily Energy'!D184</f>
        <v>1647</v>
      </c>
      <c r="E184" s="35">
        <f>'Daily Energy'!E184</f>
        <v>27.7</v>
      </c>
      <c r="F184" s="34">
        <f>'Daily Energy'!F184</f>
        <v>11513</v>
      </c>
      <c r="G184" s="34">
        <f>'Daily Energy'!G184</f>
        <v>471</v>
      </c>
      <c r="H184" s="34">
        <f t="shared" si="16"/>
        <v>11984</v>
      </c>
      <c r="I184" s="36">
        <f t="shared" si="17"/>
        <v>45901</v>
      </c>
      <c r="J184" s="34" t="str">
        <f t="shared" si="18"/>
        <v/>
      </c>
      <c r="K184" s="34">
        <f t="shared" si="19"/>
        <v>11984</v>
      </c>
      <c r="L184" s="33">
        <f>IF(AND(C184="No",H184&gt;'Analysis Summary'!$B$5),1,0)</f>
        <v>0</v>
      </c>
      <c r="M184" s="33" t="str">
        <f>IF(L184=1,SUM($L$2:L184),"")</f>
        <v/>
      </c>
      <c r="N184" s="33">
        <f>IF(C184="Yes",COUNTIF($C$2:C184,"Yes"),"")</f>
        <v>157</v>
      </c>
      <c r="P184" s="37">
        <v>183</v>
      </c>
      <c r="Q184" s="32">
        <f t="shared" si="20"/>
        <v>45960</v>
      </c>
      <c r="R184" s="34">
        <f t="shared" si="21"/>
        <v>1778</v>
      </c>
      <c r="S184" s="35">
        <f t="shared" si="22"/>
        <v>24.9</v>
      </c>
      <c r="T184" s="34">
        <f t="shared" si="23"/>
        <v>13646</v>
      </c>
    </row>
    <row r="185" spans="1:20" x14ac:dyDescent="0.25">
      <c r="A185" s="32">
        <f>'Daily Energy'!A185</f>
        <v>45931</v>
      </c>
      <c r="B185" s="33" t="str">
        <f>'Daily Energy'!B185</f>
        <v>Wednesday</v>
      </c>
      <c r="C185" s="33" t="str">
        <f>'Daily Energy'!C185</f>
        <v>Yes</v>
      </c>
      <c r="D185" s="34">
        <f>'Daily Energy'!D185</f>
        <v>1953</v>
      </c>
      <c r="E185" s="35">
        <f>'Daily Energy'!E185</f>
        <v>24.8</v>
      </c>
      <c r="F185" s="34">
        <f>'Daily Energy'!F185</f>
        <v>13210</v>
      </c>
      <c r="G185" s="34">
        <f>'Daily Energy'!G185</f>
        <v>1597</v>
      </c>
      <c r="H185" s="34">
        <f t="shared" si="16"/>
        <v>14807</v>
      </c>
      <c r="I185" s="36">
        <f t="shared" si="17"/>
        <v>45931</v>
      </c>
      <c r="J185" s="34" t="str">
        <f t="shared" si="18"/>
        <v/>
      </c>
      <c r="K185" s="34">
        <f t="shared" si="19"/>
        <v>14807</v>
      </c>
      <c r="L185" s="33">
        <f>IF(AND(C185="No",H185&gt;'Analysis Summary'!$B$5),1,0)</f>
        <v>0</v>
      </c>
      <c r="M185" s="33" t="str">
        <f>IF(L185=1,SUM($L$2:L185),"")</f>
        <v/>
      </c>
      <c r="N185" s="33">
        <f>IF(C185="Yes",COUNTIF($C$2:C185,"Yes"),"")</f>
        <v>158</v>
      </c>
      <c r="P185" s="37">
        <v>184</v>
      </c>
      <c r="Q185" s="32">
        <f t="shared" si="20"/>
        <v>45961</v>
      </c>
      <c r="R185" s="34">
        <f t="shared" si="21"/>
        <v>1865</v>
      </c>
      <c r="S185" s="35">
        <f t="shared" si="22"/>
        <v>27.3</v>
      </c>
      <c r="T185" s="34">
        <f t="shared" si="23"/>
        <v>14151</v>
      </c>
    </row>
    <row r="186" spans="1:20" x14ac:dyDescent="0.25">
      <c r="A186" s="32">
        <f>'Daily Energy'!A186</f>
        <v>45932</v>
      </c>
      <c r="B186" s="33" t="str">
        <f>'Daily Energy'!B186</f>
        <v>Thursday</v>
      </c>
      <c r="C186" s="33" t="str">
        <f>'Daily Energy'!C186</f>
        <v>Yes</v>
      </c>
      <c r="D186" s="34">
        <f>'Daily Energy'!D186</f>
        <v>1762</v>
      </c>
      <c r="E186" s="35">
        <f>'Daily Energy'!E186</f>
        <v>29.3</v>
      </c>
      <c r="F186" s="34">
        <f>'Daily Energy'!F186</f>
        <v>12057</v>
      </c>
      <c r="G186" s="34">
        <f>'Daily Energy'!G186</f>
        <v>1833</v>
      </c>
      <c r="H186" s="34">
        <f t="shared" si="16"/>
        <v>13890</v>
      </c>
      <c r="I186" s="36">
        <f t="shared" si="17"/>
        <v>45931</v>
      </c>
      <c r="J186" s="34" t="str">
        <f t="shared" si="18"/>
        <v/>
      </c>
      <c r="K186" s="34">
        <f t="shared" si="19"/>
        <v>13890</v>
      </c>
      <c r="L186" s="33">
        <f>IF(AND(C186="No",H186&gt;'Analysis Summary'!$B$5),1,0)</f>
        <v>0</v>
      </c>
      <c r="M186" s="33" t="str">
        <f>IF(L186=1,SUM($L$2:L186),"")</f>
        <v/>
      </c>
      <c r="N186" s="33">
        <f>IF(C186="Yes",COUNTIF($C$2:C186,"Yes"),"")</f>
        <v>159</v>
      </c>
      <c r="P186" s="37">
        <v>185</v>
      </c>
      <c r="Q186" s="32">
        <f t="shared" si="20"/>
        <v>45962</v>
      </c>
      <c r="R186" s="34">
        <f t="shared" si="21"/>
        <v>1647</v>
      </c>
      <c r="S186" s="35">
        <f t="shared" si="22"/>
        <v>27.6</v>
      </c>
      <c r="T186" s="34">
        <f t="shared" si="23"/>
        <v>13210</v>
      </c>
    </row>
    <row r="187" spans="1:20" x14ac:dyDescent="0.25">
      <c r="A187" s="32">
        <f>'Daily Energy'!A187</f>
        <v>45933</v>
      </c>
      <c r="B187" s="33" t="str">
        <f>'Daily Energy'!B187</f>
        <v>Friday</v>
      </c>
      <c r="C187" s="33" t="str">
        <f>'Daily Energy'!C187</f>
        <v>Yes</v>
      </c>
      <c r="D187" s="34">
        <f>'Daily Energy'!D187</f>
        <v>1669</v>
      </c>
      <c r="E187" s="35">
        <f>'Daily Energy'!E187</f>
        <v>31</v>
      </c>
      <c r="F187" s="34">
        <f>'Daily Energy'!F187</f>
        <v>11609</v>
      </c>
      <c r="G187" s="34">
        <f>'Daily Energy'!G187</f>
        <v>1498</v>
      </c>
      <c r="H187" s="34">
        <f t="shared" si="16"/>
        <v>13107</v>
      </c>
      <c r="I187" s="36">
        <f t="shared" si="17"/>
        <v>45931</v>
      </c>
      <c r="J187" s="34" t="str">
        <f t="shared" si="18"/>
        <v/>
      </c>
      <c r="K187" s="34">
        <f t="shared" si="19"/>
        <v>13107</v>
      </c>
      <c r="L187" s="33">
        <f>IF(AND(C187="No",H187&gt;'Analysis Summary'!$B$5),1,0)</f>
        <v>0</v>
      </c>
      <c r="M187" s="33" t="str">
        <f>IF(L187=1,SUM($L$2:L187),"")</f>
        <v/>
      </c>
      <c r="N187" s="33">
        <f>IF(C187="Yes",COUNTIF($C$2:C187,"Yes"),"")</f>
        <v>160</v>
      </c>
      <c r="P187" s="37">
        <v>186</v>
      </c>
      <c r="Q187" s="32">
        <f t="shared" si="20"/>
        <v>45964</v>
      </c>
      <c r="R187" s="34">
        <f t="shared" si="21"/>
        <v>1758</v>
      </c>
      <c r="S187" s="35">
        <f t="shared" si="22"/>
        <v>24.9</v>
      </c>
      <c r="T187" s="34">
        <f t="shared" si="23"/>
        <v>12935</v>
      </c>
    </row>
    <row r="188" spans="1:20" x14ac:dyDescent="0.25">
      <c r="A188" s="32">
        <f>'Daily Energy'!A188</f>
        <v>45934</v>
      </c>
      <c r="B188" s="33" t="str">
        <f>'Daily Energy'!B188</f>
        <v>Saturday</v>
      </c>
      <c r="C188" s="33" t="str">
        <f>'Daily Energy'!C188</f>
        <v>Yes</v>
      </c>
      <c r="D188" s="34">
        <f>'Daily Energy'!D188</f>
        <v>1487</v>
      </c>
      <c r="E188" s="35">
        <f>'Daily Energy'!E188</f>
        <v>29.2</v>
      </c>
      <c r="F188" s="34">
        <f>'Daily Energy'!F188</f>
        <v>10564</v>
      </c>
      <c r="G188" s="34">
        <f>'Daily Energy'!G188</f>
        <v>1471</v>
      </c>
      <c r="H188" s="34">
        <f t="shared" si="16"/>
        <v>12035</v>
      </c>
      <c r="I188" s="36">
        <f t="shared" si="17"/>
        <v>45931</v>
      </c>
      <c r="J188" s="34" t="str">
        <f t="shared" si="18"/>
        <v/>
      </c>
      <c r="K188" s="34">
        <f t="shared" si="19"/>
        <v>12035</v>
      </c>
      <c r="L188" s="33">
        <f>IF(AND(C188="No",H188&gt;'Analysis Summary'!$B$5),1,0)</f>
        <v>0</v>
      </c>
      <c r="M188" s="33" t="str">
        <f>IF(L188=1,SUM($L$2:L188),"")</f>
        <v/>
      </c>
      <c r="N188" s="33">
        <f>IF(C188="Yes",COUNTIF($C$2:C188,"Yes"),"")</f>
        <v>161</v>
      </c>
      <c r="P188" s="37">
        <v>187</v>
      </c>
      <c r="Q188" s="32">
        <f t="shared" si="20"/>
        <v>45965</v>
      </c>
      <c r="R188" s="34">
        <f t="shared" si="21"/>
        <v>2186</v>
      </c>
      <c r="S188" s="35">
        <f t="shared" si="22"/>
        <v>24.7</v>
      </c>
      <c r="T188" s="34">
        <f t="shared" si="23"/>
        <v>15031</v>
      </c>
    </row>
    <row r="189" spans="1:20" x14ac:dyDescent="0.25">
      <c r="A189" s="32">
        <f>'Daily Energy'!A189</f>
        <v>45935</v>
      </c>
      <c r="B189" s="33" t="str">
        <f>'Daily Energy'!B189</f>
        <v>Sunday</v>
      </c>
      <c r="C189" s="33" t="str">
        <f>'Daily Energy'!C189</f>
        <v>No</v>
      </c>
      <c r="D189" s="34">
        <f>'Daily Energy'!D189</f>
        <v>0</v>
      </c>
      <c r="E189" s="35">
        <f>'Daily Energy'!E189</f>
        <v>29.5</v>
      </c>
      <c r="F189" s="34">
        <f>'Daily Energy'!F189</f>
        <v>2685</v>
      </c>
      <c r="G189" s="34">
        <f>'Daily Energy'!G189</f>
        <v>1785</v>
      </c>
      <c r="H189" s="34">
        <f t="shared" si="16"/>
        <v>4470</v>
      </c>
      <c r="I189" s="36">
        <f t="shared" si="17"/>
        <v>45931</v>
      </c>
      <c r="J189" s="34">
        <f t="shared" si="18"/>
        <v>4470</v>
      </c>
      <c r="K189" s="34" t="str">
        <f t="shared" si="19"/>
        <v/>
      </c>
      <c r="L189" s="33">
        <f>IF(AND(C189="No",H189&gt;'Analysis Summary'!$B$5),1,0)</f>
        <v>0</v>
      </c>
      <c r="M189" s="33" t="str">
        <f>IF(L189=1,SUM($L$2:L189),"")</f>
        <v/>
      </c>
      <c r="N189" s="33" t="str">
        <f>IF(C189="Yes",COUNTIF($C$2:C189,"Yes"),"")</f>
        <v/>
      </c>
      <c r="P189" s="37">
        <v>188</v>
      </c>
      <c r="Q189" s="32">
        <f t="shared" si="20"/>
        <v>45966</v>
      </c>
      <c r="R189" s="34">
        <f t="shared" si="21"/>
        <v>1716</v>
      </c>
      <c r="S189" s="35">
        <f t="shared" si="22"/>
        <v>26.3</v>
      </c>
      <c r="T189" s="34">
        <f t="shared" si="23"/>
        <v>12877</v>
      </c>
    </row>
    <row r="190" spans="1:20" x14ac:dyDescent="0.25">
      <c r="A190" s="32">
        <f>'Daily Energy'!A190</f>
        <v>45936</v>
      </c>
      <c r="B190" s="33" t="str">
        <f>'Daily Energy'!B190</f>
        <v>Monday</v>
      </c>
      <c r="C190" s="33" t="str">
        <f>'Daily Energy'!C190</f>
        <v>Yes</v>
      </c>
      <c r="D190" s="34">
        <f>'Daily Energy'!D190</f>
        <v>1883</v>
      </c>
      <c r="E190" s="35">
        <f>'Daily Energy'!E190</f>
        <v>29.2</v>
      </c>
      <c r="F190" s="34">
        <f>'Daily Energy'!F190</f>
        <v>12712</v>
      </c>
      <c r="G190" s="34">
        <f>'Daily Energy'!G190</f>
        <v>1832</v>
      </c>
      <c r="H190" s="34">
        <f t="shared" si="16"/>
        <v>14544</v>
      </c>
      <c r="I190" s="36">
        <f t="shared" si="17"/>
        <v>45931</v>
      </c>
      <c r="J190" s="34" t="str">
        <f t="shared" si="18"/>
        <v/>
      </c>
      <c r="K190" s="34">
        <f t="shared" si="19"/>
        <v>14544</v>
      </c>
      <c r="L190" s="33">
        <f>IF(AND(C190="No",H190&gt;'Analysis Summary'!$B$5),1,0)</f>
        <v>0</v>
      </c>
      <c r="M190" s="33" t="str">
        <f>IF(L190=1,SUM($L$2:L190),"")</f>
        <v/>
      </c>
      <c r="N190" s="33">
        <f>IF(C190="Yes",COUNTIF($C$2:C190,"Yes"),"")</f>
        <v>162</v>
      </c>
      <c r="P190" s="37">
        <v>189</v>
      </c>
      <c r="Q190" s="32">
        <f t="shared" si="20"/>
        <v>45967</v>
      </c>
      <c r="R190" s="34">
        <f t="shared" si="21"/>
        <v>2027</v>
      </c>
      <c r="S190" s="35">
        <f t="shared" si="22"/>
        <v>26</v>
      </c>
      <c r="T190" s="34">
        <f t="shared" si="23"/>
        <v>14765</v>
      </c>
    </row>
    <row r="191" spans="1:20" x14ac:dyDescent="0.25">
      <c r="A191" s="32">
        <f>'Daily Energy'!A191</f>
        <v>45937</v>
      </c>
      <c r="B191" s="33" t="str">
        <f>'Daily Energy'!B191</f>
        <v>Tuesday</v>
      </c>
      <c r="C191" s="33" t="str">
        <f>'Daily Energy'!C191</f>
        <v>Yes</v>
      </c>
      <c r="D191" s="34">
        <f>'Daily Energy'!D191</f>
        <v>1533</v>
      </c>
      <c r="E191" s="35">
        <f>'Daily Energy'!E191</f>
        <v>28.6</v>
      </c>
      <c r="F191" s="34">
        <f>'Daily Energy'!F191</f>
        <v>10526</v>
      </c>
      <c r="G191" s="34">
        <f>'Daily Energy'!G191</f>
        <v>1064</v>
      </c>
      <c r="H191" s="34">
        <f t="shared" si="16"/>
        <v>11590</v>
      </c>
      <c r="I191" s="36">
        <f t="shared" si="17"/>
        <v>45931</v>
      </c>
      <c r="J191" s="34" t="str">
        <f t="shared" si="18"/>
        <v/>
      </c>
      <c r="K191" s="34">
        <f t="shared" si="19"/>
        <v>11590</v>
      </c>
      <c r="L191" s="33">
        <f>IF(AND(C191="No",H191&gt;'Analysis Summary'!$B$5),1,0)</f>
        <v>0</v>
      </c>
      <c r="M191" s="33" t="str">
        <f>IF(L191=1,SUM($L$2:L191),"")</f>
        <v/>
      </c>
      <c r="N191" s="33">
        <f>IF(C191="Yes",COUNTIF($C$2:C191,"Yes"),"")</f>
        <v>163</v>
      </c>
      <c r="P191" s="37">
        <v>190</v>
      </c>
      <c r="Q191" s="32">
        <f t="shared" si="20"/>
        <v>45968</v>
      </c>
      <c r="R191" s="34">
        <f t="shared" si="21"/>
        <v>1884</v>
      </c>
      <c r="S191" s="35">
        <f t="shared" si="22"/>
        <v>26.8</v>
      </c>
      <c r="T191" s="34">
        <f t="shared" si="23"/>
        <v>14300</v>
      </c>
    </row>
    <row r="192" spans="1:20" x14ac:dyDescent="0.25">
      <c r="A192" s="32">
        <f>'Daily Energy'!A192</f>
        <v>45938</v>
      </c>
      <c r="B192" s="33" t="str">
        <f>'Daily Energy'!B192</f>
        <v>Wednesday</v>
      </c>
      <c r="C192" s="33" t="str">
        <f>'Daily Energy'!C192</f>
        <v>Yes</v>
      </c>
      <c r="D192" s="34">
        <f>'Daily Energy'!D192</f>
        <v>2030</v>
      </c>
      <c r="E192" s="35">
        <f>'Daily Energy'!E192</f>
        <v>30.8</v>
      </c>
      <c r="F192" s="34">
        <f>'Daily Energy'!F192</f>
        <v>13741</v>
      </c>
      <c r="G192" s="34">
        <f>'Daily Energy'!G192</f>
        <v>1552</v>
      </c>
      <c r="H192" s="34">
        <f t="shared" si="16"/>
        <v>15293</v>
      </c>
      <c r="I192" s="36">
        <f t="shared" si="17"/>
        <v>45931</v>
      </c>
      <c r="J192" s="34" t="str">
        <f t="shared" si="18"/>
        <v/>
      </c>
      <c r="K192" s="34">
        <f t="shared" si="19"/>
        <v>15293</v>
      </c>
      <c r="L192" s="33">
        <f>IF(AND(C192="No",H192&gt;'Analysis Summary'!$B$5),1,0)</f>
        <v>0</v>
      </c>
      <c r="M192" s="33" t="str">
        <f>IF(L192=1,SUM($L$2:L192),"")</f>
        <v/>
      </c>
      <c r="N192" s="33">
        <f>IF(C192="Yes",COUNTIF($C$2:C192,"Yes"),"")</f>
        <v>164</v>
      </c>
      <c r="P192" s="37">
        <v>191</v>
      </c>
      <c r="Q192" s="32">
        <f t="shared" si="20"/>
        <v>45969</v>
      </c>
      <c r="R192" s="34">
        <f t="shared" si="21"/>
        <v>1775</v>
      </c>
      <c r="S192" s="35">
        <f t="shared" si="22"/>
        <v>23.5</v>
      </c>
      <c r="T192" s="34">
        <f t="shared" si="23"/>
        <v>13479</v>
      </c>
    </row>
    <row r="193" spans="1:20" x14ac:dyDescent="0.25">
      <c r="A193" s="32">
        <f>'Daily Energy'!A193</f>
        <v>45939</v>
      </c>
      <c r="B193" s="33" t="str">
        <f>'Daily Energy'!B193</f>
        <v>Thursday</v>
      </c>
      <c r="C193" s="33" t="str">
        <f>'Daily Energy'!C193</f>
        <v>Yes</v>
      </c>
      <c r="D193" s="34">
        <f>'Daily Energy'!D193</f>
        <v>1739</v>
      </c>
      <c r="E193" s="35">
        <f>'Daily Energy'!E193</f>
        <v>27.8</v>
      </c>
      <c r="F193" s="34">
        <f>'Daily Energy'!F193</f>
        <v>11895</v>
      </c>
      <c r="G193" s="34">
        <f>'Daily Energy'!G193</f>
        <v>1461</v>
      </c>
      <c r="H193" s="34">
        <f t="shared" si="16"/>
        <v>13356</v>
      </c>
      <c r="I193" s="36">
        <f t="shared" si="17"/>
        <v>45931</v>
      </c>
      <c r="J193" s="34" t="str">
        <f t="shared" si="18"/>
        <v/>
      </c>
      <c r="K193" s="34">
        <f t="shared" si="19"/>
        <v>13356</v>
      </c>
      <c r="L193" s="33">
        <f>IF(AND(C193="No",H193&gt;'Analysis Summary'!$B$5),1,0)</f>
        <v>0</v>
      </c>
      <c r="M193" s="33" t="str">
        <f>IF(L193=1,SUM($L$2:L193),"")</f>
        <v/>
      </c>
      <c r="N193" s="33">
        <f>IF(C193="Yes",COUNTIF($C$2:C193,"Yes"),"")</f>
        <v>165</v>
      </c>
      <c r="P193" s="37">
        <v>192</v>
      </c>
      <c r="Q193" s="32">
        <f t="shared" si="20"/>
        <v>45971</v>
      </c>
      <c r="R193" s="34">
        <f t="shared" si="21"/>
        <v>1999</v>
      </c>
      <c r="S193" s="35">
        <f t="shared" si="22"/>
        <v>23.5</v>
      </c>
      <c r="T193" s="34">
        <f t="shared" si="23"/>
        <v>14423</v>
      </c>
    </row>
    <row r="194" spans="1:20" x14ac:dyDescent="0.25">
      <c r="A194" s="32">
        <f>'Daily Energy'!A194</f>
        <v>45940</v>
      </c>
      <c r="B194" s="33" t="str">
        <f>'Daily Energy'!B194</f>
        <v>Friday</v>
      </c>
      <c r="C194" s="33" t="str">
        <f>'Daily Energy'!C194</f>
        <v>Yes</v>
      </c>
      <c r="D194" s="34">
        <f>'Daily Energy'!D194</f>
        <v>1729</v>
      </c>
      <c r="E194" s="35">
        <f>'Daily Energy'!E194</f>
        <v>28.6</v>
      </c>
      <c r="F194" s="34">
        <f>'Daily Energy'!F194</f>
        <v>11980</v>
      </c>
      <c r="G194" s="34">
        <f>'Daily Energy'!G194</f>
        <v>1472</v>
      </c>
      <c r="H194" s="34">
        <f t="shared" ref="H194:H257" si="24">F194+G194</f>
        <v>13452</v>
      </c>
      <c r="I194" s="36">
        <f t="shared" ref="I194:I257" si="25">DATE(YEAR(A194),MONTH(A194),1)</f>
        <v>45931</v>
      </c>
      <c r="J194" s="34" t="str">
        <f t="shared" ref="J194:J257" si="26">IF(C194="No",H194,"")</f>
        <v/>
      </c>
      <c r="K194" s="34">
        <f t="shared" ref="K194:K257" si="27">IF(C194="Yes",H194,"")</f>
        <v>13452</v>
      </c>
      <c r="L194" s="33">
        <f>IF(AND(C194="No",H194&gt;'Analysis Summary'!$B$5),1,0)</f>
        <v>0</v>
      </c>
      <c r="M194" s="33" t="str">
        <f>IF(L194=1,SUM($L$2:L194),"")</f>
        <v/>
      </c>
      <c r="N194" s="33">
        <f>IF(C194="Yes",COUNTIF($C$2:C194,"Yes"),"")</f>
        <v>166</v>
      </c>
      <c r="P194" s="37">
        <v>193</v>
      </c>
      <c r="Q194" s="32">
        <f t="shared" ref="Q194:Q257" si="28">INDEX($A$2:$A$366,MATCH($P194,$N$2:$N$366,0))</f>
        <v>45972</v>
      </c>
      <c r="R194" s="34">
        <f t="shared" ref="R194:R257" si="29">INDEX($D$2:$D$366,MATCH($P194,$N$2:$N$366,0))</f>
        <v>1670</v>
      </c>
      <c r="S194" s="35">
        <f t="shared" ref="S194:S257" si="30">INDEX($E$2:$E$366,MATCH($P194,$N$2:$N$366,0))</f>
        <v>25.2</v>
      </c>
      <c r="T194" s="34">
        <f t="shared" ref="T194:T257" si="31">INDEX($H$2:$H$366,MATCH($P194,$N$2:$N$366,0))</f>
        <v>12488</v>
      </c>
    </row>
    <row r="195" spans="1:20" x14ac:dyDescent="0.25">
      <c r="A195" s="32">
        <f>'Daily Energy'!A195</f>
        <v>45941</v>
      </c>
      <c r="B195" s="33" t="str">
        <f>'Daily Energy'!B195</f>
        <v>Saturday</v>
      </c>
      <c r="C195" s="33" t="str">
        <f>'Daily Energy'!C195</f>
        <v>Yes</v>
      </c>
      <c r="D195" s="34">
        <f>'Daily Energy'!D195</f>
        <v>1651</v>
      </c>
      <c r="E195" s="35">
        <f>'Daily Energy'!E195</f>
        <v>26.8</v>
      </c>
      <c r="F195" s="34">
        <f>'Daily Energy'!F195</f>
        <v>11290</v>
      </c>
      <c r="G195" s="34">
        <f>'Daily Energy'!G195</f>
        <v>1662</v>
      </c>
      <c r="H195" s="34">
        <f t="shared" si="24"/>
        <v>12952</v>
      </c>
      <c r="I195" s="36">
        <f t="shared" si="25"/>
        <v>45931</v>
      </c>
      <c r="J195" s="34" t="str">
        <f t="shared" si="26"/>
        <v/>
      </c>
      <c r="K195" s="34">
        <f t="shared" si="27"/>
        <v>12952</v>
      </c>
      <c r="L195" s="33">
        <f>IF(AND(C195="No",H195&gt;'Analysis Summary'!$B$5),1,0)</f>
        <v>0</v>
      </c>
      <c r="M195" s="33" t="str">
        <f>IF(L195=1,SUM($L$2:L195),"")</f>
        <v/>
      </c>
      <c r="N195" s="33">
        <f>IF(C195="Yes",COUNTIF($C$2:C195,"Yes"),"")</f>
        <v>167</v>
      </c>
      <c r="P195" s="37">
        <v>194</v>
      </c>
      <c r="Q195" s="32">
        <f t="shared" si="28"/>
        <v>45973</v>
      </c>
      <c r="R195" s="34">
        <f t="shared" si="29"/>
        <v>1720</v>
      </c>
      <c r="S195" s="35">
        <f t="shared" si="30"/>
        <v>21.9</v>
      </c>
      <c r="T195" s="34">
        <f t="shared" si="31"/>
        <v>13436</v>
      </c>
    </row>
    <row r="196" spans="1:20" x14ac:dyDescent="0.25">
      <c r="A196" s="32">
        <f>'Daily Energy'!A196</f>
        <v>45942</v>
      </c>
      <c r="B196" s="33" t="str">
        <f>'Daily Energy'!B196</f>
        <v>Sunday</v>
      </c>
      <c r="C196" s="33" t="str">
        <f>'Daily Energy'!C196</f>
        <v>No</v>
      </c>
      <c r="D196" s="34">
        <f>'Daily Energy'!D196</f>
        <v>0</v>
      </c>
      <c r="E196" s="35">
        <f>'Daily Energy'!E196</f>
        <v>27.2</v>
      </c>
      <c r="F196" s="34">
        <f>'Daily Energy'!F196</f>
        <v>2706</v>
      </c>
      <c r="G196" s="34">
        <f>'Daily Energy'!G196</f>
        <v>1515</v>
      </c>
      <c r="H196" s="34">
        <f t="shared" si="24"/>
        <v>4221</v>
      </c>
      <c r="I196" s="36">
        <f t="shared" si="25"/>
        <v>45931</v>
      </c>
      <c r="J196" s="34">
        <f t="shared" si="26"/>
        <v>4221</v>
      </c>
      <c r="K196" s="34" t="str">
        <f t="shared" si="27"/>
        <v/>
      </c>
      <c r="L196" s="33">
        <f>IF(AND(C196="No",H196&gt;'Analysis Summary'!$B$5),1,0)</f>
        <v>0</v>
      </c>
      <c r="M196" s="33" t="str">
        <f>IF(L196=1,SUM($L$2:L196),"")</f>
        <v/>
      </c>
      <c r="N196" s="33" t="str">
        <f>IF(C196="Yes",COUNTIF($C$2:C196,"Yes"),"")</f>
        <v/>
      </c>
      <c r="P196" s="37">
        <v>195</v>
      </c>
      <c r="Q196" s="32">
        <f t="shared" si="28"/>
        <v>45974</v>
      </c>
      <c r="R196" s="34">
        <f t="shared" si="29"/>
        <v>1696</v>
      </c>
      <c r="S196" s="35">
        <f t="shared" si="30"/>
        <v>25.1</v>
      </c>
      <c r="T196" s="34">
        <f t="shared" si="31"/>
        <v>12528</v>
      </c>
    </row>
    <row r="197" spans="1:20" x14ac:dyDescent="0.25">
      <c r="A197" s="32">
        <f>'Daily Energy'!A197</f>
        <v>45943</v>
      </c>
      <c r="B197" s="33" t="str">
        <f>'Daily Energy'!B197</f>
        <v>Monday</v>
      </c>
      <c r="C197" s="33" t="str">
        <f>'Daily Energy'!C197</f>
        <v>Yes</v>
      </c>
      <c r="D197" s="34">
        <f>'Daily Energy'!D197</f>
        <v>1854</v>
      </c>
      <c r="E197" s="35">
        <f>'Daily Energy'!E197</f>
        <v>29.8</v>
      </c>
      <c r="F197" s="34">
        <f>'Daily Energy'!F197</f>
        <v>12539</v>
      </c>
      <c r="G197" s="34">
        <f>'Daily Energy'!G197</f>
        <v>1476</v>
      </c>
      <c r="H197" s="34">
        <f t="shared" si="24"/>
        <v>14015</v>
      </c>
      <c r="I197" s="36">
        <f t="shared" si="25"/>
        <v>45931</v>
      </c>
      <c r="J197" s="34" t="str">
        <f t="shared" si="26"/>
        <v/>
      </c>
      <c r="K197" s="34">
        <f t="shared" si="27"/>
        <v>14015</v>
      </c>
      <c r="L197" s="33">
        <f>IF(AND(C197="No",H197&gt;'Analysis Summary'!$B$5),1,0)</f>
        <v>0</v>
      </c>
      <c r="M197" s="33" t="str">
        <f>IF(L197=1,SUM($L$2:L197),"")</f>
        <v/>
      </c>
      <c r="N197" s="33">
        <f>IF(C197="Yes",COUNTIF($C$2:C197,"Yes"),"")</f>
        <v>168</v>
      </c>
      <c r="P197" s="37">
        <v>196</v>
      </c>
      <c r="Q197" s="32">
        <f t="shared" si="28"/>
        <v>45975</v>
      </c>
      <c r="R197" s="34">
        <f t="shared" si="29"/>
        <v>1777</v>
      </c>
      <c r="S197" s="35">
        <f t="shared" si="30"/>
        <v>23.2</v>
      </c>
      <c r="T197" s="34">
        <f t="shared" si="31"/>
        <v>13335</v>
      </c>
    </row>
    <row r="198" spans="1:20" x14ac:dyDescent="0.25">
      <c r="A198" s="32">
        <f>'Daily Energy'!A198</f>
        <v>45944</v>
      </c>
      <c r="B198" s="33" t="str">
        <f>'Daily Energy'!B198</f>
        <v>Tuesday</v>
      </c>
      <c r="C198" s="33" t="str">
        <f>'Daily Energy'!C198</f>
        <v>Yes</v>
      </c>
      <c r="D198" s="34">
        <f>'Daily Energy'!D198</f>
        <v>1817</v>
      </c>
      <c r="E198" s="35">
        <f>'Daily Energy'!E198</f>
        <v>27.3</v>
      </c>
      <c r="F198" s="34">
        <f>'Daily Energy'!F198</f>
        <v>12506</v>
      </c>
      <c r="G198" s="34">
        <f>'Daily Energy'!G198</f>
        <v>1635</v>
      </c>
      <c r="H198" s="34">
        <f t="shared" si="24"/>
        <v>14141</v>
      </c>
      <c r="I198" s="36">
        <f t="shared" si="25"/>
        <v>45931</v>
      </c>
      <c r="J198" s="34" t="str">
        <f t="shared" si="26"/>
        <v/>
      </c>
      <c r="K198" s="34">
        <f t="shared" si="27"/>
        <v>14141</v>
      </c>
      <c r="L198" s="33">
        <f>IF(AND(C198="No",H198&gt;'Analysis Summary'!$B$5),1,0)</f>
        <v>0</v>
      </c>
      <c r="M198" s="33" t="str">
        <f>IF(L198=1,SUM($L$2:L198),"")</f>
        <v/>
      </c>
      <c r="N198" s="33">
        <f>IF(C198="Yes",COUNTIF($C$2:C198,"Yes"),"")</f>
        <v>169</v>
      </c>
      <c r="P198" s="37">
        <v>197</v>
      </c>
      <c r="Q198" s="32">
        <f t="shared" si="28"/>
        <v>45976</v>
      </c>
      <c r="R198" s="34">
        <f t="shared" si="29"/>
        <v>1896</v>
      </c>
      <c r="S198" s="35">
        <f t="shared" si="30"/>
        <v>23.3</v>
      </c>
      <c r="T198" s="34">
        <f t="shared" si="31"/>
        <v>13903</v>
      </c>
    </row>
    <row r="199" spans="1:20" x14ac:dyDescent="0.25">
      <c r="A199" s="32">
        <f>'Daily Energy'!A199</f>
        <v>45945</v>
      </c>
      <c r="B199" s="33" t="str">
        <f>'Daily Energy'!B199</f>
        <v>Wednesday</v>
      </c>
      <c r="C199" s="33" t="str">
        <f>'Daily Energy'!C199</f>
        <v>Yes</v>
      </c>
      <c r="D199" s="34">
        <f>'Daily Energy'!D199</f>
        <v>1992</v>
      </c>
      <c r="E199" s="35">
        <f>'Daily Energy'!E199</f>
        <v>30.2</v>
      </c>
      <c r="F199" s="34">
        <f>'Daily Energy'!F199</f>
        <v>13727</v>
      </c>
      <c r="G199" s="34">
        <f>'Daily Energy'!G199</f>
        <v>1404</v>
      </c>
      <c r="H199" s="34">
        <f t="shared" si="24"/>
        <v>15131</v>
      </c>
      <c r="I199" s="36">
        <f t="shared" si="25"/>
        <v>45931</v>
      </c>
      <c r="J199" s="34" t="str">
        <f t="shared" si="26"/>
        <v/>
      </c>
      <c r="K199" s="34">
        <f t="shared" si="27"/>
        <v>15131</v>
      </c>
      <c r="L199" s="33">
        <f>IF(AND(C199="No",H199&gt;'Analysis Summary'!$B$5),1,0)</f>
        <v>0</v>
      </c>
      <c r="M199" s="33" t="str">
        <f>IF(L199=1,SUM($L$2:L199),"")</f>
        <v/>
      </c>
      <c r="N199" s="33">
        <f>IF(C199="Yes",COUNTIF($C$2:C199,"Yes"),"")</f>
        <v>170</v>
      </c>
      <c r="P199" s="37">
        <v>198</v>
      </c>
      <c r="Q199" s="32">
        <f t="shared" si="28"/>
        <v>45978</v>
      </c>
      <c r="R199" s="34">
        <f t="shared" si="29"/>
        <v>1544</v>
      </c>
      <c r="S199" s="35">
        <f t="shared" si="30"/>
        <v>22.8</v>
      </c>
      <c r="T199" s="34">
        <f t="shared" si="31"/>
        <v>12465</v>
      </c>
    </row>
    <row r="200" spans="1:20" x14ac:dyDescent="0.25">
      <c r="A200" s="32">
        <f>'Daily Energy'!A200</f>
        <v>45946</v>
      </c>
      <c r="B200" s="33" t="str">
        <f>'Daily Energy'!B200</f>
        <v>Thursday</v>
      </c>
      <c r="C200" s="33" t="str">
        <f>'Daily Energy'!C200</f>
        <v>Yes</v>
      </c>
      <c r="D200" s="34">
        <f>'Daily Energy'!D200</f>
        <v>1835</v>
      </c>
      <c r="E200" s="35">
        <f>'Daily Energy'!E200</f>
        <v>28.5</v>
      </c>
      <c r="F200" s="34">
        <f>'Daily Energy'!F200</f>
        <v>12444</v>
      </c>
      <c r="G200" s="34">
        <f>'Daily Energy'!G200</f>
        <v>1612</v>
      </c>
      <c r="H200" s="34">
        <f t="shared" si="24"/>
        <v>14056</v>
      </c>
      <c r="I200" s="36">
        <f t="shared" si="25"/>
        <v>45931</v>
      </c>
      <c r="J200" s="34" t="str">
        <f t="shared" si="26"/>
        <v/>
      </c>
      <c r="K200" s="34">
        <f t="shared" si="27"/>
        <v>14056</v>
      </c>
      <c r="L200" s="33">
        <f>IF(AND(C200="No",H200&gt;'Analysis Summary'!$B$5),1,0)</f>
        <v>0</v>
      </c>
      <c r="M200" s="33" t="str">
        <f>IF(L200=1,SUM($L$2:L200),"")</f>
        <v/>
      </c>
      <c r="N200" s="33">
        <f>IF(C200="Yes",COUNTIF($C$2:C200,"Yes"),"")</f>
        <v>171</v>
      </c>
      <c r="P200" s="37">
        <v>199</v>
      </c>
      <c r="Q200" s="32">
        <f t="shared" si="28"/>
        <v>45979</v>
      </c>
      <c r="R200" s="34">
        <f t="shared" si="29"/>
        <v>1925</v>
      </c>
      <c r="S200" s="35">
        <f t="shared" si="30"/>
        <v>23.7</v>
      </c>
      <c r="T200" s="34">
        <f t="shared" si="31"/>
        <v>14532</v>
      </c>
    </row>
    <row r="201" spans="1:20" x14ac:dyDescent="0.25">
      <c r="A201" s="32">
        <f>'Daily Energy'!A201</f>
        <v>45947</v>
      </c>
      <c r="B201" s="33" t="str">
        <f>'Daily Energy'!B201</f>
        <v>Friday</v>
      </c>
      <c r="C201" s="33" t="str">
        <f>'Daily Energy'!C201</f>
        <v>Yes</v>
      </c>
      <c r="D201" s="34">
        <f>'Daily Energy'!D201</f>
        <v>2084</v>
      </c>
      <c r="E201" s="35">
        <f>'Daily Energy'!E201</f>
        <v>25.8</v>
      </c>
      <c r="F201" s="34">
        <f>'Daily Energy'!F201</f>
        <v>13045</v>
      </c>
      <c r="G201" s="34">
        <f>'Daily Energy'!G201</f>
        <v>1428</v>
      </c>
      <c r="H201" s="34">
        <f t="shared" si="24"/>
        <v>14473</v>
      </c>
      <c r="I201" s="36">
        <f t="shared" si="25"/>
        <v>45931</v>
      </c>
      <c r="J201" s="34" t="str">
        <f t="shared" si="26"/>
        <v/>
      </c>
      <c r="K201" s="34">
        <f t="shared" si="27"/>
        <v>14473</v>
      </c>
      <c r="L201" s="33">
        <f>IF(AND(C201="No",H201&gt;'Analysis Summary'!$B$5),1,0)</f>
        <v>0</v>
      </c>
      <c r="M201" s="33" t="str">
        <f>IF(L201=1,SUM($L$2:L201),"")</f>
        <v/>
      </c>
      <c r="N201" s="33">
        <f>IF(C201="Yes",COUNTIF($C$2:C201,"Yes"),"")</f>
        <v>172</v>
      </c>
      <c r="P201" s="37">
        <v>200</v>
      </c>
      <c r="Q201" s="32">
        <f t="shared" si="28"/>
        <v>45980</v>
      </c>
      <c r="R201" s="34">
        <f t="shared" si="29"/>
        <v>1751</v>
      </c>
      <c r="S201" s="35">
        <f t="shared" si="30"/>
        <v>25.6</v>
      </c>
      <c r="T201" s="34">
        <f t="shared" si="31"/>
        <v>13013</v>
      </c>
    </row>
    <row r="202" spans="1:20" x14ac:dyDescent="0.25">
      <c r="A202" s="32">
        <f>'Daily Energy'!A202</f>
        <v>45948</v>
      </c>
      <c r="B202" s="33" t="str">
        <f>'Daily Energy'!B202</f>
        <v>Saturday</v>
      </c>
      <c r="C202" s="33" t="str">
        <f>'Daily Energy'!C202</f>
        <v>Yes</v>
      </c>
      <c r="D202" s="34">
        <f>'Daily Energy'!D202</f>
        <v>1908</v>
      </c>
      <c r="E202" s="35">
        <f>'Daily Energy'!E202</f>
        <v>25.7</v>
      </c>
      <c r="F202" s="34">
        <f>'Daily Energy'!F202</f>
        <v>12014</v>
      </c>
      <c r="G202" s="34">
        <f>'Daily Energy'!G202</f>
        <v>1744</v>
      </c>
      <c r="H202" s="34">
        <f t="shared" si="24"/>
        <v>13758</v>
      </c>
      <c r="I202" s="36">
        <f t="shared" si="25"/>
        <v>45931</v>
      </c>
      <c r="J202" s="34" t="str">
        <f t="shared" si="26"/>
        <v/>
      </c>
      <c r="K202" s="34">
        <f t="shared" si="27"/>
        <v>13758</v>
      </c>
      <c r="L202" s="33">
        <f>IF(AND(C202="No",H202&gt;'Analysis Summary'!$B$5),1,0)</f>
        <v>0</v>
      </c>
      <c r="M202" s="33" t="str">
        <f>IF(L202=1,SUM($L$2:L202),"")</f>
        <v/>
      </c>
      <c r="N202" s="33">
        <f>IF(C202="Yes",COUNTIF($C$2:C202,"Yes"),"")</f>
        <v>173</v>
      </c>
      <c r="P202" s="37">
        <v>201</v>
      </c>
      <c r="Q202" s="32">
        <f t="shared" si="28"/>
        <v>45981</v>
      </c>
      <c r="R202" s="34">
        <f t="shared" si="29"/>
        <v>1630</v>
      </c>
      <c r="S202" s="35">
        <f t="shared" si="30"/>
        <v>24.8</v>
      </c>
      <c r="T202" s="34">
        <f t="shared" si="31"/>
        <v>12358</v>
      </c>
    </row>
    <row r="203" spans="1:20" x14ac:dyDescent="0.25">
      <c r="A203" s="32">
        <f>'Daily Energy'!A203</f>
        <v>45949</v>
      </c>
      <c r="B203" s="33" t="str">
        <f>'Daily Energy'!B203</f>
        <v>Sunday</v>
      </c>
      <c r="C203" s="33" t="str">
        <f>'Daily Energy'!C203</f>
        <v>No</v>
      </c>
      <c r="D203" s="34">
        <f>'Daily Energy'!D203</f>
        <v>0</v>
      </c>
      <c r="E203" s="35">
        <f>'Daily Energy'!E203</f>
        <v>27.1</v>
      </c>
      <c r="F203" s="34">
        <f>'Daily Energy'!F203</f>
        <v>2430</v>
      </c>
      <c r="G203" s="34">
        <f>'Daily Energy'!G203</f>
        <v>1484</v>
      </c>
      <c r="H203" s="34">
        <f t="shared" si="24"/>
        <v>3914</v>
      </c>
      <c r="I203" s="36">
        <f t="shared" si="25"/>
        <v>45931</v>
      </c>
      <c r="J203" s="34">
        <f t="shared" si="26"/>
        <v>3914</v>
      </c>
      <c r="K203" s="34" t="str">
        <f t="shared" si="27"/>
        <v/>
      </c>
      <c r="L203" s="33">
        <f>IF(AND(C203="No",H203&gt;'Analysis Summary'!$B$5),1,0)</f>
        <v>0</v>
      </c>
      <c r="M203" s="33" t="str">
        <f>IF(L203=1,SUM($L$2:L203),"")</f>
        <v/>
      </c>
      <c r="N203" s="33" t="str">
        <f>IF(C203="Yes",COUNTIF($C$2:C203,"Yes"),"")</f>
        <v/>
      </c>
      <c r="P203" s="37">
        <v>202</v>
      </c>
      <c r="Q203" s="32">
        <f t="shared" si="28"/>
        <v>45982</v>
      </c>
      <c r="R203" s="34">
        <f t="shared" si="29"/>
        <v>1713</v>
      </c>
      <c r="S203" s="35">
        <f t="shared" si="30"/>
        <v>25.5</v>
      </c>
      <c r="T203" s="34">
        <f t="shared" si="31"/>
        <v>13266</v>
      </c>
    </row>
    <row r="204" spans="1:20" x14ac:dyDescent="0.25">
      <c r="A204" s="32">
        <f>'Daily Energy'!A204</f>
        <v>45950</v>
      </c>
      <c r="B204" s="33" t="str">
        <f>'Daily Energy'!B204</f>
        <v>Monday</v>
      </c>
      <c r="C204" s="33" t="str">
        <f>'Daily Energy'!C204</f>
        <v>Yes</v>
      </c>
      <c r="D204" s="34">
        <f>'Daily Energy'!D204</f>
        <v>2159</v>
      </c>
      <c r="E204" s="35">
        <f>'Daily Energy'!E204</f>
        <v>27.3</v>
      </c>
      <c r="F204" s="34">
        <f>'Daily Energy'!F204</f>
        <v>14388</v>
      </c>
      <c r="G204" s="34">
        <f>'Daily Energy'!G204</f>
        <v>1804</v>
      </c>
      <c r="H204" s="34">
        <f t="shared" si="24"/>
        <v>16192</v>
      </c>
      <c r="I204" s="36">
        <f t="shared" si="25"/>
        <v>45931</v>
      </c>
      <c r="J204" s="34" t="str">
        <f t="shared" si="26"/>
        <v/>
      </c>
      <c r="K204" s="34">
        <f t="shared" si="27"/>
        <v>16192</v>
      </c>
      <c r="L204" s="33">
        <f>IF(AND(C204="No",H204&gt;'Analysis Summary'!$B$5),1,0)</f>
        <v>0</v>
      </c>
      <c r="M204" s="33" t="str">
        <f>IF(L204=1,SUM($L$2:L204),"")</f>
        <v/>
      </c>
      <c r="N204" s="33">
        <f>IF(C204="Yes",COUNTIF($C$2:C204,"Yes"),"")</f>
        <v>174</v>
      </c>
      <c r="P204" s="37">
        <v>203</v>
      </c>
      <c r="Q204" s="32">
        <f t="shared" si="28"/>
        <v>45983</v>
      </c>
      <c r="R204" s="34">
        <f t="shared" si="29"/>
        <v>1814</v>
      </c>
      <c r="S204" s="35">
        <f t="shared" si="30"/>
        <v>25.1</v>
      </c>
      <c r="T204" s="34">
        <f t="shared" si="31"/>
        <v>13713</v>
      </c>
    </row>
    <row r="205" spans="1:20" x14ac:dyDescent="0.25">
      <c r="A205" s="32">
        <f>'Daily Energy'!A205</f>
        <v>45951</v>
      </c>
      <c r="B205" s="33" t="str">
        <f>'Daily Energy'!B205</f>
        <v>Tuesday</v>
      </c>
      <c r="C205" s="33" t="str">
        <f>'Daily Energy'!C205</f>
        <v>Yes</v>
      </c>
      <c r="D205" s="34">
        <f>'Daily Energy'!D205</f>
        <v>1984</v>
      </c>
      <c r="E205" s="35">
        <f>'Daily Energy'!E205</f>
        <v>24.9</v>
      </c>
      <c r="F205" s="34">
        <f>'Daily Energy'!F205</f>
        <v>13039</v>
      </c>
      <c r="G205" s="34">
        <f>'Daily Energy'!G205</f>
        <v>1495</v>
      </c>
      <c r="H205" s="34">
        <f t="shared" si="24"/>
        <v>14534</v>
      </c>
      <c r="I205" s="36">
        <f t="shared" si="25"/>
        <v>45931</v>
      </c>
      <c r="J205" s="34" t="str">
        <f t="shared" si="26"/>
        <v/>
      </c>
      <c r="K205" s="34">
        <f t="shared" si="27"/>
        <v>14534</v>
      </c>
      <c r="L205" s="33">
        <f>IF(AND(C205="No",H205&gt;'Analysis Summary'!$B$5),1,0)</f>
        <v>0</v>
      </c>
      <c r="M205" s="33" t="str">
        <f>IF(L205=1,SUM($L$2:L205),"")</f>
        <v/>
      </c>
      <c r="N205" s="33">
        <f>IF(C205="Yes",COUNTIF($C$2:C205,"Yes"),"")</f>
        <v>175</v>
      </c>
      <c r="P205" s="37">
        <v>204</v>
      </c>
      <c r="Q205" s="32">
        <f t="shared" si="28"/>
        <v>45985</v>
      </c>
      <c r="R205" s="34">
        <f t="shared" si="29"/>
        <v>1817</v>
      </c>
      <c r="S205" s="35">
        <f t="shared" si="30"/>
        <v>25.5</v>
      </c>
      <c r="T205" s="34">
        <f t="shared" si="31"/>
        <v>13798</v>
      </c>
    </row>
    <row r="206" spans="1:20" x14ac:dyDescent="0.25">
      <c r="A206" s="32">
        <f>'Daily Energy'!A206</f>
        <v>45952</v>
      </c>
      <c r="B206" s="33" t="str">
        <f>'Daily Energy'!B206</f>
        <v>Wednesday</v>
      </c>
      <c r="C206" s="33" t="str">
        <f>'Daily Energy'!C206</f>
        <v>Yes</v>
      </c>
      <c r="D206" s="34">
        <f>'Daily Energy'!D206</f>
        <v>1622</v>
      </c>
      <c r="E206" s="35">
        <f>'Daily Energy'!E206</f>
        <v>28.7</v>
      </c>
      <c r="F206" s="34">
        <f>'Daily Energy'!F206</f>
        <v>11172</v>
      </c>
      <c r="G206" s="34">
        <f>'Daily Energy'!G206</f>
        <v>1507</v>
      </c>
      <c r="H206" s="34">
        <f t="shared" si="24"/>
        <v>12679</v>
      </c>
      <c r="I206" s="36">
        <f t="shared" si="25"/>
        <v>45931</v>
      </c>
      <c r="J206" s="34" t="str">
        <f t="shared" si="26"/>
        <v/>
      </c>
      <c r="K206" s="34">
        <f t="shared" si="27"/>
        <v>12679</v>
      </c>
      <c r="L206" s="33">
        <f>IF(AND(C206="No",H206&gt;'Analysis Summary'!$B$5),1,0)</f>
        <v>0</v>
      </c>
      <c r="M206" s="33" t="str">
        <f>IF(L206=1,SUM($L$2:L206),"")</f>
        <v/>
      </c>
      <c r="N206" s="33">
        <f>IF(C206="Yes",COUNTIF($C$2:C206,"Yes"),"")</f>
        <v>176</v>
      </c>
      <c r="P206" s="37">
        <v>205</v>
      </c>
      <c r="Q206" s="32">
        <f t="shared" si="28"/>
        <v>45986</v>
      </c>
      <c r="R206" s="34">
        <f t="shared" si="29"/>
        <v>1836</v>
      </c>
      <c r="S206" s="35">
        <f t="shared" si="30"/>
        <v>21.2</v>
      </c>
      <c r="T206" s="34">
        <f t="shared" si="31"/>
        <v>13730</v>
      </c>
    </row>
    <row r="207" spans="1:20" x14ac:dyDescent="0.25">
      <c r="A207" s="32">
        <f>'Daily Energy'!A207</f>
        <v>45953</v>
      </c>
      <c r="B207" s="33" t="str">
        <f>'Daily Energy'!B207</f>
        <v>Thursday</v>
      </c>
      <c r="C207" s="33" t="str">
        <f>'Daily Energy'!C207</f>
        <v>Yes</v>
      </c>
      <c r="D207" s="34">
        <f>'Daily Energy'!D207</f>
        <v>1851</v>
      </c>
      <c r="E207" s="35">
        <f>'Daily Energy'!E207</f>
        <v>25.8</v>
      </c>
      <c r="F207" s="34">
        <f>'Daily Energy'!F207</f>
        <v>12607</v>
      </c>
      <c r="G207" s="34">
        <f>'Daily Energy'!G207</f>
        <v>1513</v>
      </c>
      <c r="H207" s="34">
        <f t="shared" si="24"/>
        <v>14120</v>
      </c>
      <c r="I207" s="36">
        <f t="shared" si="25"/>
        <v>45931</v>
      </c>
      <c r="J207" s="34" t="str">
        <f t="shared" si="26"/>
        <v/>
      </c>
      <c r="K207" s="34">
        <f t="shared" si="27"/>
        <v>14120</v>
      </c>
      <c r="L207" s="33">
        <f>IF(AND(C207="No",H207&gt;'Analysis Summary'!$B$5),1,0)</f>
        <v>0</v>
      </c>
      <c r="M207" s="33" t="str">
        <f>IF(L207=1,SUM($L$2:L207),"")</f>
        <v/>
      </c>
      <c r="N207" s="33">
        <f>IF(C207="Yes",COUNTIF($C$2:C207,"Yes"),"")</f>
        <v>177</v>
      </c>
      <c r="P207" s="37">
        <v>206</v>
      </c>
      <c r="Q207" s="32">
        <f t="shared" si="28"/>
        <v>45987</v>
      </c>
      <c r="R207" s="34">
        <f t="shared" si="29"/>
        <v>1877</v>
      </c>
      <c r="S207" s="35">
        <f t="shared" si="30"/>
        <v>23.8</v>
      </c>
      <c r="T207" s="34">
        <f t="shared" si="31"/>
        <v>13888</v>
      </c>
    </row>
    <row r="208" spans="1:20" x14ac:dyDescent="0.25">
      <c r="A208" s="32">
        <f>'Daily Energy'!A208</f>
        <v>45954</v>
      </c>
      <c r="B208" s="33" t="str">
        <f>'Daily Energy'!B208</f>
        <v>Friday</v>
      </c>
      <c r="C208" s="33" t="str">
        <f>'Daily Energy'!C208</f>
        <v>Yes</v>
      </c>
      <c r="D208" s="34">
        <f>'Daily Energy'!D208</f>
        <v>1820</v>
      </c>
      <c r="E208" s="35">
        <f>'Daily Energy'!E208</f>
        <v>26.9</v>
      </c>
      <c r="F208" s="34">
        <f>'Daily Energy'!F208</f>
        <v>12176</v>
      </c>
      <c r="G208" s="34">
        <f>'Daily Energy'!G208</f>
        <v>1682</v>
      </c>
      <c r="H208" s="34">
        <f t="shared" si="24"/>
        <v>13858</v>
      </c>
      <c r="I208" s="36">
        <f t="shared" si="25"/>
        <v>45931</v>
      </c>
      <c r="J208" s="34" t="str">
        <f t="shared" si="26"/>
        <v/>
      </c>
      <c r="K208" s="34">
        <f t="shared" si="27"/>
        <v>13858</v>
      </c>
      <c r="L208" s="33">
        <f>IF(AND(C208="No",H208&gt;'Analysis Summary'!$B$5),1,0)</f>
        <v>0</v>
      </c>
      <c r="M208" s="33" t="str">
        <f>IF(L208=1,SUM($L$2:L208),"")</f>
        <v/>
      </c>
      <c r="N208" s="33">
        <f>IF(C208="Yes",COUNTIF($C$2:C208,"Yes"),"")</f>
        <v>178</v>
      </c>
      <c r="P208" s="37">
        <v>207</v>
      </c>
      <c r="Q208" s="32">
        <f t="shared" si="28"/>
        <v>45988</v>
      </c>
      <c r="R208" s="34">
        <f t="shared" si="29"/>
        <v>1834</v>
      </c>
      <c r="S208" s="35">
        <f t="shared" si="30"/>
        <v>24.2</v>
      </c>
      <c r="T208" s="34">
        <f t="shared" si="31"/>
        <v>13915</v>
      </c>
    </row>
    <row r="209" spans="1:20" x14ac:dyDescent="0.25">
      <c r="A209" s="32">
        <f>'Daily Energy'!A209</f>
        <v>45955</v>
      </c>
      <c r="B209" s="33" t="str">
        <f>'Daily Energy'!B209</f>
        <v>Saturday</v>
      </c>
      <c r="C209" s="33" t="str">
        <f>'Daily Energy'!C209</f>
        <v>Yes</v>
      </c>
      <c r="D209" s="34">
        <f>'Daily Energy'!D209</f>
        <v>1847</v>
      </c>
      <c r="E209" s="35">
        <f>'Daily Energy'!E209</f>
        <v>26.2</v>
      </c>
      <c r="F209" s="34">
        <f>'Daily Energy'!F209</f>
        <v>11935</v>
      </c>
      <c r="G209" s="34">
        <f>'Daily Energy'!G209</f>
        <v>1316</v>
      </c>
      <c r="H209" s="34">
        <f t="shared" si="24"/>
        <v>13251</v>
      </c>
      <c r="I209" s="36">
        <f t="shared" si="25"/>
        <v>45931</v>
      </c>
      <c r="J209" s="34" t="str">
        <f t="shared" si="26"/>
        <v/>
      </c>
      <c r="K209" s="34">
        <f t="shared" si="27"/>
        <v>13251</v>
      </c>
      <c r="L209" s="33">
        <f>IF(AND(C209="No",H209&gt;'Analysis Summary'!$B$5),1,0)</f>
        <v>0</v>
      </c>
      <c r="M209" s="33" t="str">
        <f>IF(L209=1,SUM($L$2:L209),"")</f>
        <v/>
      </c>
      <c r="N209" s="33">
        <f>IF(C209="Yes",COUNTIF($C$2:C209,"Yes"),"")</f>
        <v>179</v>
      </c>
      <c r="P209" s="37">
        <v>208</v>
      </c>
      <c r="Q209" s="32">
        <f t="shared" si="28"/>
        <v>45989</v>
      </c>
      <c r="R209" s="34">
        <f t="shared" si="29"/>
        <v>1694</v>
      </c>
      <c r="S209" s="35">
        <f t="shared" si="30"/>
        <v>22.7</v>
      </c>
      <c r="T209" s="34">
        <f t="shared" si="31"/>
        <v>12300</v>
      </c>
    </row>
    <row r="210" spans="1:20" x14ac:dyDescent="0.25">
      <c r="A210" s="32">
        <f>'Daily Energy'!A210</f>
        <v>45956</v>
      </c>
      <c r="B210" s="33" t="str">
        <f>'Daily Energy'!B210</f>
        <v>Sunday</v>
      </c>
      <c r="C210" s="33" t="str">
        <f>'Daily Energy'!C210</f>
        <v>No</v>
      </c>
      <c r="D210" s="34">
        <f>'Daily Energy'!D210</f>
        <v>0</v>
      </c>
      <c r="E210" s="35">
        <f>'Daily Energy'!E210</f>
        <v>27.2</v>
      </c>
      <c r="F210" s="34">
        <f>'Daily Energy'!F210</f>
        <v>2079</v>
      </c>
      <c r="G210" s="34">
        <f>'Daily Energy'!G210</f>
        <v>1730</v>
      </c>
      <c r="H210" s="34">
        <f t="shared" si="24"/>
        <v>3809</v>
      </c>
      <c r="I210" s="36">
        <f t="shared" si="25"/>
        <v>45931</v>
      </c>
      <c r="J210" s="34">
        <f t="shared" si="26"/>
        <v>3809</v>
      </c>
      <c r="K210" s="34" t="str">
        <f t="shared" si="27"/>
        <v/>
      </c>
      <c r="L210" s="33">
        <f>IF(AND(C210="No",H210&gt;'Analysis Summary'!$B$5),1,0)</f>
        <v>0</v>
      </c>
      <c r="M210" s="33" t="str">
        <f>IF(L210=1,SUM($L$2:L210),"")</f>
        <v/>
      </c>
      <c r="N210" s="33" t="str">
        <f>IF(C210="Yes",COUNTIF($C$2:C210,"Yes"),"")</f>
        <v/>
      </c>
      <c r="P210" s="37">
        <v>209</v>
      </c>
      <c r="Q210" s="32">
        <f t="shared" si="28"/>
        <v>45990</v>
      </c>
      <c r="R210" s="34">
        <f t="shared" si="29"/>
        <v>1826</v>
      </c>
      <c r="S210" s="35">
        <f t="shared" si="30"/>
        <v>20.6</v>
      </c>
      <c r="T210" s="34">
        <f t="shared" si="31"/>
        <v>13668</v>
      </c>
    </row>
    <row r="211" spans="1:20" x14ac:dyDescent="0.25">
      <c r="A211" s="32">
        <f>'Daily Energy'!A211</f>
        <v>45957</v>
      </c>
      <c r="B211" s="33" t="str">
        <f>'Daily Energy'!B211</f>
        <v>Monday</v>
      </c>
      <c r="C211" s="33" t="str">
        <f>'Daily Energy'!C211</f>
        <v>Yes</v>
      </c>
      <c r="D211" s="34">
        <f>'Daily Energy'!D211</f>
        <v>1996</v>
      </c>
      <c r="E211" s="35">
        <f>'Daily Energy'!E211</f>
        <v>24.8</v>
      </c>
      <c r="F211" s="34">
        <f>'Daily Energy'!F211</f>
        <v>12594</v>
      </c>
      <c r="G211" s="34">
        <f>'Daily Energy'!G211</f>
        <v>1477</v>
      </c>
      <c r="H211" s="34">
        <f t="shared" si="24"/>
        <v>14071</v>
      </c>
      <c r="I211" s="36">
        <f t="shared" si="25"/>
        <v>45931</v>
      </c>
      <c r="J211" s="34" t="str">
        <f t="shared" si="26"/>
        <v/>
      </c>
      <c r="K211" s="34">
        <f t="shared" si="27"/>
        <v>14071</v>
      </c>
      <c r="L211" s="33">
        <f>IF(AND(C211="No",H211&gt;'Analysis Summary'!$B$5),1,0)</f>
        <v>0</v>
      </c>
      <c r="M211" s="33" t="str">
        <f>IF(L211=1,SUM($L$2:L211),"")</f>
        <v/>
      </c>
      <c r="N211" s="33">
        <f>IF(C211="Yes",COUNTIF($C$2:C211,"Yes"),"")</f>
        <v>180</v>
      </c>
      <c r="P211" s="37">
        <v>210</v>
      </c>
      <c r="Q211" s="32">
        <f t="shared" si="28"/>
        <v>45992</v>
      </c>
      <c r="R211" s="34">
        <f t="shared" si="29"/>
        <v>1888</v>
      </c>
      <c r="S211" s="35">
        <f t="shared" si="30"/>
        <v>24.2</v>
      </c>
      <c r="T211" s="34">
        <f t="shared" si="31"/>
        <v>13931</v>
      </c>
    </row>
    <row r="212" spans="1:20" x14ac:dyDescent="0.25">
      <c r="A212" s="32">
        <f>'Daily Energy'!A212</f>
        <v>45958</v>
      </c>
      <c r="B212" s="33" t="str">
        <f>'Daily Energy'!B212</f>
        <v>Tuesday</v>
      </c>
      <c r="C212" s="33" t="str">
        <f>'Daily Energy'!C212</f>
        <v>Yes</v>
      </c>
      <c r="D212" s="34">
        <f>'Daily Energy'!D212</f>
        <v>1727</v>
      </c>
      <c r="E212" s="35">
        <f>'Daily Energy'!E212</f>
        <v>26.6</v>
      </c>
      <c r="F212" s="34">
        <f>'Daily Energy'!F212</f>
        <v>11077</v>
      </c>
      <c r="G212" s="34">
        <f>'Daily Energy'!G212</f>
        <v>1719</v>
      </c>
      <c r="H212" s="34">
        <f t="shared" si="24"/>
        <v>12796</v>
      </c>
      <c r="I212" s="36">
        <f t="shared" si="25"/>
        <v>45931</v>
      </c>
      <c r="J212" s="34" t="str">
        <f t="shared" si="26"/>
        <v/>
      </c>
      <c r="K212" s="34">
        <f t="shared" si="27"/>
        <v>12796</v>
      </c>
      <c r="L212" s="33">
        <f>IF(AND(C212="No",H212&gt;'Analysis Summary'!$B$5),1,0)</f>
        <v>0</v>
      </c>
      <c r="M212" s="33" t="str">
        <f>IF(L212=1,SUM($L$2:L212),"")</f>
        <v/>
      </c>
      <c r="N212" s="33">
        <f>IF(C212="Yes",COUNTIF($C$2:C212,"Yes"),"")</f>
        <v>181</v>
      </c>
      <c r="P212" s="37">
        <v>211</v>
      </c>
      <c r="Q212" s="32">
        <f t="shared" si="28"/>
        <v>45993</v>
      </c>
      <c r="R212" s="34">
        <f t="shared" si="29"/>
        <v>1881</v>
      </c>
      <c r="S212" s="35">
        <f t="shared" si="30"/>
        <v>25.6</v>
      </c>
      <c r="T212" s="34">
        <f t="shared" si="31"/>
        <v>14270</v>
      </c>
    </row>
    <row r="213" spans="1:20" x14ac:dyDescent="0.25">
      <c r="A213" s="32">
        <f>'Daily Energy'!A213</f>
        <v>45959</v>
      </c>
      <c r="B213" s="33" t="str">
        <f>'Daily Energy'!B213</f>
        <v>Wednesday</v>
      </c>
      <c r="C213" s="33" t="str">
        <f>'Daily Energy'!C213</f>
        <v>Yes</v>
      </c>
      <c r="D213" s="34">
        <f>'Daily Energy'!D213</f>
        <v>1801</v>
      </c>
      <c r="E213" s="35">
        <f>'Daily Energy'!E213</f>
        <v>25.1</v>
      </c>
      <c r="F213" s="34">
        <f>'Daily Energy'!F213</f>
        <v>11775</v>
      </c>
      <c r="G213" s="34">
        <f>'Daily Energy'!G213</f>
        <v>1792</v>
      </c>
      <c r="H213" s="34">
        <f t="shared" si="24"/>
        <v>13567</v>
      </c>
      <c r="I213" s="36">
        <f t="shared" si="25"/>
        <v>45931</v>
      </c>
      <c r="J213" s="34" t="str">
        <f t="shared" si="26"/>
        <v/>
      </c>
      <c r="K213" s="34">
        <f t="shared" si="27"/>
        <v>13567</v>
      </c>
      <c r="L213" s="33">
        <f>IF(AND(C213="No",H213&gt;'Analysis Summary'!$B$5),1,0)</f>
        <v>0</v>
      </c>
      <c r="M213" s="33" t="str">
        <f>IF(L213=1,SUM($L$2:L213),"")</f>
        <v/>
      </c>
      <c r="N213" s="33">
        <f>IF(C213="Yes",COUNTIF($C$2:C213,"Yes"),"")</f>
        <v>182</v>
      </c>
      <c r="P213" s="37">
        <v>212</v>
      </c>
      <c r="Q213" s="32">
        <f t="shared" si="28"/>
        <v>45994</v>
      </c>
      <c r="R213" s="34">
        <f t="shared" si="29"/>
        <v>1900</v>
      </c>
      <c r="S213" s="35">
        <f t="shared" si="30"/>
        <v>20.8</v>
      </c>
      <c r="T213" s="34">
        <f t="shared" si="31"/>
        <v>13922</v>
      </c>
    </row>
    <row r="214" spans="1:20" x14ac:dyDescent="0.25">
      <c r="A214" s="32">
        <f>'Daily Energy'!A214</f>
        <v>45960</v>
      </c>
      <c r="B214" s="33" t="str">
        <f>'Daily Energy'!B214</f>
        <v>Thursday</v>
      </c>
      <c r="C214" s="33" t="str">
        <f>'Daily Energy'!C214</f>
        <v>Yes</v>
      </c>
      <c r="D214" s="34">
        <f>'Daily Energy'!D214</f>
        <v>1778</v>
      </c>
      <c r="E214" s="35">
        <f>'Daily Energy'!E214</f>
        <v>24.9</v>
      </c>
      <c r="F214" s="34">
        <f>'Daily Energy'!F214</f>
        <v>11825</v>
      </c>
      <c r="G214" s="34">
        <f>'Daily Energy'!G214</f>
        <v>1821</v>
      </c>
      <c r="H214" s="34">
        <f t="shared" si="24"/>
        <v>13646</v>
      </c>
      <c r="I214" s="36">
        <f t="shared" si="25"/>
        <v>45931</v>
      </c>
      <c r="J214" s="34" t="str">
        <f t="shared" si="26"/>
        <v/>
      </c>
      <c r="K214" s="34">
        <f t="shared" si="27"/>
        <v>13646</v>
      </c>
      <c r="L214" s="33">
        <f>IF(AND(C214="No",H214&gt;'Analysis Summary'!$B$5),1,0)</f>
        <v>0</v>
      </c>
      <c r="M214" s="33" t="str">
        <f>IF(L214=1,SUM($L$2:L214),"")</f>
        <v/>
      </c>
      <c r="N214" s="33">
        <f>IF(C214="Yes",COUNTIF($C$2:C214,"Yes"),"")</f>
        <v>183</v>
      </c>
      <c r="P214" s="37">
        <v>213</v>
      </c>
      <c r="Q214" s="32">
        <f t="shared" si="28"/>
        <v>45995</v>
      </c>
      <c r="R214" s="34">
        <f t="shared" si="29"/>
        <v>1602</v>
      </c>
      <c r="S214" s="35">
        <f t="shared" si="30"/>
        <v>22.6</v>
      </c>
      <c r="T214" s="34">
        <f t="shared" si="31"/>
        <v>12099</v>
      </c>
    </row>
    <row r="215" spans="1:20" x14ac:dyDescent="0.25">
      <c r="A215" s="32">
        <f>'Daily Energy'!A215</f>
        <v>45961</v>
      </c>
      <c r="B215" s="33" t="str">
        <f>'Daily Energy'!B215</f>
        <v>Friday</v>
      </c>
      <c r="C215" s="33" t="str">
        <f>'Daily Energy'!C215</f>
        <v>Yes</v>
      </c>
      <c r="D215" s="34">
        <f>'Daily Energy'!D215</f>
        <v>1865</v>
      </c>
      <c r="E215" s="35">
        <f>'Daily Energy'!E215</f>
        <v>27.3</v>
      </c>
      <c r="F215" s="34">
        <f>'Daily Energy'!F215</f>
        <v>12370</v>
      </c>
      <c r="G215" s="34">
        <f>'Daily Energy'!G215</f>
        <v>1781</v>
      </c>
      <c r="H215" s="34">
        <f t="shared" si="24"/>
        <v>14151</v>
      </c>
      <c r="I215" s="36">
        <f t="shared" si="25"/>
        <v>45931</v>
      </c>
      <c r="J215" s="34" t="str">
        <f t="shared" si="26"/>
        <v/>
      </c>
      <c r="K215" s="34">
        <f t="shared" si="27"/>
        <v>14151</v>
      </c>
      <c r="L215" s="33">
        <f>IF(AND(C215="No",H215&gt;'Analysis Summary'!$B$5),1,0)</f>
        <v>0</v>
      </c>
      <c r="M215" s="33" t="str">
        <f>IF(L215=1,SUM($L$2:L215),"")</f>
        <v/>
      </c>
      <c r="N215" s="33">
        <f>IF(C215="Yes",COUNTIF($C$2:C215,"Yes"),"")</f>
        <v>184</v>
      </c>
      <c r="P215" s="37">
        <v>214</v>
      </c>
      <c r="Q215" s="32">
        <f t="shared" si="28"/>
        <v>45996</v>
      </c>
      <c r="R215" s="34">
        <f t="shared" si="29"/>
        <v>1734</v>
      </c>
      <c r="S215" s="35">
        <f t="shared" si="30"/>
        <v>23.4</v>
      </c>
      <c r="T215" s="34">
        <f t="shared" si="31"/>
        <v>13535</v>
      </c>
    </row>
    <row r="216" spans="1:20" x14ac:dyDescent="0.25">
      <c r="A216" s="32">
        <f>'Daily Energy'!A216</f>
        <v>45962</v>
      </c>
      <c r="B216" s="33" t="str">
        <f>'Daily Energy'!B216</f>
        <v>Saturday</v>
      </c>
      <c r="C216" s="33" t="str">
        <f>'Daily Energy'!C216</f>
        <v>Yes</v>
      </c>
      <c r="D216" s="34">
        <f>'Daily Energy'!D216</f>
        <v>1647</v>
      </c>
      <c r="E216" s="35">
        <f>'Daily Energy'!E216</f>
        <v>27.6</v>
      </c>
      <c r="F216" s="34">
        <f>'Daily Energy'!F216</f>
        <v>11418</v>
      </c>
      <c r="G216" s="34">
        <f>'Daily Energy'!G216</f>
        <v>1792</v>
      </c>
      <c r="H216" s="34">
        <f t="shared" si="24"/>
        <v>13210</v>
      </c>
      <c r="I216" s="36">
        <f t="shared" si="25"/>
        <v>45962</v>
      </c>
      <c r="J216" s="34" t="str">
        <f t="shared" si="26"/>
        <v/>
      </c>
      <c r="K216" s="34">
        <f t="shared" si="27"/>
        <v>13210</v>
      </c>
      <c r="L216" s="33">
        <f>IF(AND(C216="No",H216&gt;'Analysis Summary'!$B$5),1,0)</f>
        <v>0</v>
      </c>
      <c r="M216" s="33" t="str">
        <f>IF(L216=1,SUM($L$2:L216),"")</f>
        <v/>
      </c>
      <c r="N216" s="33">
        <f>IF(C216="Yes",COUNTIF($C$2:C216,"Yes"),"")</f>
        <v>185</v>
      </c>
      <c r="P216" s="37">
        <v>215</v>
      </c>
      <c r="Q216" s="32">
        <f t="shared" si="28"/>
        <v>45997</v>
      </c>
      <c r="R216" s="34">
        <f t="shared" si="29"/>
        <v>1698</v>
      </c>
      <c r="S216" s="35">
        <f t="shared" si="30"/>
        <v>23</v>
      </c>
      <c r="T216" s="34">
        <f t="shared" si="31"/>
        <v>12948</v>
      </c>
    </row>
    <row r="217" spans="1:20" x14ac:dyDescent="0.25">
      <c r="A217" s="32">
        <f>'Daily Energy'!A217</f>
        <v>45963</v>
      </c>
      <c r="B217" s="33" t="str">
        <f>'Daily Energy'!B217</f>
        <v>Sunday</v>
      </c>
      <c r="C217" s="33" t="str">
        <f>'Daily Energy'!C217</f>
        <v>No</v>
      </c>
      <c r="D217" s="34">
        <f>'Daily Energy'!D217</f>
        <v>0</v>
      </c>
      <c r="E217" s="35">
        <f>'Daily Energy'!E217</f>
        <v>24.3</v>
      </c>
      <c r="F217" s="34">
        <f>'Daily Energy'!F217</f>
        <v>2287</v>
      </c>
      <c r="G217" s="34">
        <f>'Daily Energy'!G217</f>
        <v>1447</v>
      </c>
      <c r="H217" s="34">
        <f t="shared" si="24"/>
        <v>3734</v>
      </c>
      <c r="I217" s="36">
        <f t="shared" si="25"/>
        <v>45962</v>
      </c>
      <c r="J217" s="34">
        <f t="shared" si="26"/>
        <v>3734</v>
      </c>
      <c r="K217" s="34" t="str">
        <f t="shared" si="27"/>
        <v/>
      </c>
      <c r="L217" s="33">
        <f>IF(AND(C217="No",H217&gt;'Analysis Summary'!$B$5),1,0)</f>
        <v>0</v>
      </c>
      <c r="M217" s="33" t="str">
        <f>IF(L217=1,SUM($L$2:L217),"")</f>
        <v/>
      </c>
      <c r="N217" s="33" t="str">
        <f>IF(C217="Yes",COUNTIF($C$2:C217,"Yes"),"")</f>
        <v/>
      </c>
      <c r="P217" s="37">
        <v>216</v>
      </c>
      <c r="Q217" s="32">
        <f t="shared" si="28"/>
        <v>45999</v>
      </c>
      <c r="R217" s="34">
        <f t="shared" si="29"/>
        <v>1968</v>
      </c>
      <c r="S217" s="35">
        <f t="shared" si="30"/>
        <v>23.5</v>
      </c>
      <c r="T217" s="34">
        <f t="shared" si="31"/>
        <v>14668</v>
      </c>
    </row>
    <row r="218" spans="1:20" x14ac:dyDescent="0.25">
      <c r="A218" s="32">
        <f>'Daily Energy'!A218</f>
        <v>45964</v>
      </c>
      <c r="B218" s="33" t="str">
        <f>'Daily Energy'!B218</f>
        <v>Monday</v>
      </c>
      <c r="C218" s="33" t="str">
        <f>'Daily Energy'!C218</f>
        <v>Yes</v>
      </c>
      <c r="D218" s="34">
        <f>'Daily Energy'!D218</f>
        <v>1758</v>
      </c>
      <c r="E218" s="35">
        <f>'Daily Energy'!E218</f>
        <v>24.9</v>
      </c>
      <c r="F218" s="34">
        <f>'Daily Energy'!F218</f>
        <v>11443</v>
      </c>
      <c r="G218" s="34">
        <f>'Daily Energy'!G218</f>
        <v>1492</v>
      </c>
      <c r="H218" s="34">
        <f t="shared" si="24"/>
        <v>12935</v>
      </c>
      <c r="I218" s="36">
        <f t="shared" si="25"/>
        <v>45962</v>
      </c>
      <c r="J218" s="34" t="str">
        <f t="shared" si="26"/>
        <v/>
      </c>
      <c r="K218" s="34">
        <f t="shared" si="27"/>
        <v>12935</v>
      </c>
      <c r="L218" s="33">
        <f>IF(AND(C218="No",H218&gt;'Analysis Summary'!$B$5),1,0)</f>
        <v>0</v>
      </c>
      <c r="M218" s="33" t="str">
        <f>IF(L218=1,SUM($L$2:L218),"")</f>
        <v/>
      </c>
      <c r="N218" s="33">
        <f>IF(C218="Yes",COUNTIF($C$2:C218,"Yes"),"")</f>
        <v>186</v>
      </c>
      <c r="P218" s="37">
        <v>217</v>
      </c>
      <c r="Q218" s="32">
        <f t="shared" si="28"/>
        <v>46000</v>
      </c>
      <c r="R218" s="34">
        <f t="shared" si="29"/>
        <v>1859</v>
      </c>
      <c r="S218" s="35">
        <f t="shared" si="30"/>
        <v>22.1</v>
      </c>
      <c r="T218" s="34">
        <f t="shared" si="31"/>
        <v>13378</v>
      </c>
    </row>
    <row r="219" spans="1:20" x14ac:dyDescent="0.25">
      <c r="A219" s="32">
        <f>'Daily Energy'!A219</f>
        <v>45965</v>
      </c>
      <c r="B219" s="33" t="str">
        <f>'Daily Energy'!B219</f>
        <v>Tuesday</v>
      </c>
      <c r="C219" s="33" t="str">
        <f>'Daily Energy'!C219</f>
        <v>Yes</v>
      </c>
      <c r="D219" s="34">
        <f>'Daily Energy'!D219</f>
        <v>2186</v>
      </c>
      <c r="E219" s="35">
        <f>'Daily Energy'!E219</f>
        <v>24.7</v>
      </c>
      <c r="F219" s="34">
        <f>'Daily Energy'!F219</f>
        <v>13328</v>
      </c>
      <c r="G219" s="34">
        <f>'Daily Energy'!G219</f>
        <v>1703</v>
      </c>
      <c r="H219" s="34">
        <f t="shared" si="24"/>
        <v>15031</v>
      </c>
      <c r="I219" s="36">
        <f t="shared" si="25"/>
        <v>45962</v>
      </c>
      <c r="J219" s="34" t="str">
        <f t="shared" si="26"/>
        <v/>
      </c>
      <c r="K219" s="34">
        <f t="shared" si="27"/>
        <v>15031</v>
      </c>
      <c r="L219" s="33">
        <f>IF(AND(C219="No",H219&gt;'Analysis Summary'!$B$5),1,0)</f>
        <v>0</v>
      </c>
      <c r="M219" s="33" t="str">
        <f>IF(L219=1,SUM($L$2:L219),"")</f>
        <v/>
      </c>
      <c r="N219" s="33">
        <f>IF(C219="Yes",COUNTIF($C$2:C219,"Yes"),"")</f>
        <v>187</v>
      </c>
      <c r="P219" s="37">
        <v>218</v>
      </c>
      <c r="Q219" s="32">
        <f t="shared" si="28"/>
        <v>46001</v>
      </c>
      <c r="R219" s="34">
        <f t="shared" si="29"/>
        <v>1781</v>
      </c>
      <c r="S219" s="35">
        <f t="shared" si="30"/>
        <v>22.1</v>
      </c>
      <c r="T219" s="34">
        <f t="shared" si="31"/>
        <v>13764</v>
      </c>
    </row>
    <row r="220" spans="1:20" x14ac:dyDescent="0.25">
      <c r="A220" s="32">
        <f>'Daily Energy'!A220</f>
        <v>45966</v>
      </c>
      <c r="B220" s="33" t="str">
        <f>'Daily Energy'!B220</f>
        <v>Wednesday</v>
      </c>
      <c r="C220" s="33" t="str">
        <f>'Daily Energy'!C220</f>
        <v>Yes</v>
      </c>
      <c r="D220" s="34">
        <f>'Daily Energy'!D220</f>
        <v>1716</v>
      </c>
      <c r="E220" s="35">
        <f>'Daily Energy'!E220</f>
        <v>26.3</v>
      </c>
      <c r="F220" s="34">
        <f>'Daily Energy'!F220</f>
        <v>11225</v>
      </c>
      <c r="G220" s="34">
        <f>'Daily Energy'!G220</f>
        <v>1652</v>
      </c>
      <c r="H220" s="34">
        <f t="shared" si="24"/>
        <v>12877</v>
      </c>
      <c r="I220" s="36">
        <f t="shared" si="25"/>
        <v>45962</v>
      </c>
      <c r="J220" s="34" t="str">
        <f t="shared" si="26"/>
        <v/>
      </c>
      <c r="K220" s="34">
        <f t="shared" si="27"/>
        <v>12877</v>
      </c>
      <c r="L220" s="33">
        <f>IF(AND(C220="No",H220&gt;'Analysis Summary'!$B$5),1,0)</f>
        <v>0</v>
      </c>
      <c r="M220" s="33" t="str">
        <f>IF(L220=1,SUM($L$2:L220),"")</f>
        <v/>
      </c>
      <c r="N220" s="33">
        <f>IF(C220="Yes",COUNTIF($C$2:C220,"Yes"),"")</f>
        <v>188</v>
      </c>
      <c r="P220" s="37">
        <v>219</v>
      </c>
      <c r="Q220" s="32">
        <f t="shared" si="28"/>
        <v>46002</v>
      </c>
      <c r="R220" s="34">
        <f t="shared" si="29"/>
        <v>1971</v>
      </c>
      <c r="S220" s="35">
        <f t="shared" si="30"/>
        <v>25.1</v>
      </c>
      <c r="T220" s="34">
        <f t="shared" si="31"/>
        <v>14414</v>
      </c>
    </row>
    <row r="221" spans="1:20" x14ac:dyDescent="0.25">
      <c r="A221" s="32">
        <f>'Daily Energy'!A221</f>
        <v>45967</v>
      </c>
      <c r="B221" s="33" t="str">
        <f>'Daily Energy'!B221</f>
        <v>Thursday</v>
      </c>
      <c r="C221" s="33" t="str">
        <f>'Daily Energy'!C221</f>
        <v>Yes</v>
      </c>
      <c r="D221" s="34">
        <f>'Daily Energy'!D221</f>
        <v>2027</v>
      </c>
      <c r="E221" s="35">
        <f>'Daily Energy'!E221</f>
        <v>26</v>
      </c>
      <c r="F221" s="34">
        <f>'Daily Energy'!F221</f>
        <v>13140</v>
      </c>
      <c r="G221" s="34">
        <f>'Daily Energy'!G221</f>
        <v>1625</v>
      </c>
      <c r="H221" s="34">
        <f t="shared" si="24"/>
        <v>14765</v>
      </c>
      <c r="I221" s="36">
        <f t="shared" si="25"/>
        <v>45962</v>
      </c>
      <c r="J221" s="34" t="str">
        <f t="shared" si="26"/>
        <v/>
      </c>
      <c r="K221" s="34">
        <f t="shared" si="27"/>
        <v>14765</v>
      </c>
      <c r="L221" s="33">
        <f>IF(AND(C221="No",H221&gt;'Analysis Summary'!$B$5),1,0)</f>
        <v>0</v>
      </c>
      <c r="M221" s="33" t="str">
        <f>IF(L221=1,SUM($L$2:L221),"")</f>
        <v/>
      </c>
      <c r="N221" s="33">
        <f>IF(C221="Yes",COUNTIF($C$2:C221,"Yes"),"")</f>
        <v>189</v>
      </c>
      <c r="P221" s="37">
        <v>220</v>
      </c>
      <c r="Q221" s="32">
        <f t="shared" si="28"/>
        <v>46003</v>
      </c>
      <c r="R221" s="34">
        <f t="shared" si="29"/>
        <v>1673</v>
      </c>
      <c r="S221" s="35">
        <f t="shared" si="30"/>
        <v>23.4</v>
      </c>
      <c r="T221" s="34">
        <f t="shared" si="31"/>
        <v>13426</v>
      </c>
    </row>
    <row r="222" spans="1:20" x14ac:dyDescent="0.25">
      <c r="A222" s="32">
        <f>'Daily Energy'!A222</f>
        <v>45968</v>
      </c>
      <c r="B222" s="33" t="str">
        <f>'Daily Energy'!B222</f>
        <v>Friday</v>
      </c>
      <c r="C222" s="33" t="str">
        <f>'Daily Energy'!C222</f>
        <v>Yes</v>
      </c>
      <c r="D222" s="34">
        <f>'Daily Energy'!D222</f>
        <v>1884</v>
      </c>
      <c r="E222" s="35">
        <f>'Daily Energy'!E222</f>
        <v>26.8</v>
      </c>
      <c r="F222" s="34">
        <f>'Daily Energy'!F222</f>
        <v>12694</v>
      </c>
      <c r="G222" s="34">
        <f>'Daily Energy'!G222</f>
        <v>1606</v>
      </c>
      <c r="H222" s="34">
        <f t="shared" si="24"/>
        <v>14300</v>
      </c>
      <c r="I222" s="36">
        <f t="shared" si="25"/>
        <v>45962</v>
      </c>
      <c r="J222" s="34" t="str">
        <f t="shared" si="26"/>
        <v/>
      </c>
      <c r="K222" s="34">
        <f t="shared" si="27"/>
        <v>14300</v>
      </c>
      <c r="L222" s="33">
        <f>IF(AND(C222="No",H222&gt;'Analysis Summary'!$B$5),1,0)</f>
        <v>0</v>
      </c>
      <c r="M222" s="33" t="str">
        <f>IF(L222=1,SUM($L$2:L222),"")</f>
        <v/>
      </c>
      <c r="N222" s="33">
        <f>IF(C222="Yes",COUNTIF($C$2:C222,"Yes"),"")</f>
        <v>190</v>
      </c>
      <c r="P222" s="37">
        <v>221</v>
      </c>
      <c r="Q222" s="32">
        <f t="shared" si="28"/>
        <v>46004</v>
      </c>
      <c r="R222" s="34">
        <f t="shared" si="29"/>
        <v>1803</v>
      </c>
      <c r="S222" s="35">
        <f t="shared" si="30"/>
        <v>22.1</v>
      </c>
      <c r="T222" s="34">
        <f t="shared" si="31"/>
        <v>13302</v>
      </c>
    </row>
    <row r="223" spans="1:20" x14ac:dyDescent="0.25">
      <c r="A223" s="32">
        <f>'Daily Energy'!A223</f>
        <v>45969</v>
      </c>
      <c r="B223" s="33" t="str">
        <f>'Daily Energy'!B223</f>
        <v>Saturday</v>
      </c>
      <c r="C223" s="33" t="str">
        <f>'Daily Energy'!C223</f>
        <v>Yes</v>
      </c>
      <c r="D223" s="34">
        <f>'Daily Energy'!D223</f>
        <v>1775</v>
      </c>
      <c r="E223" s="35">
        <f>'Daily Energy'!E223</f>
        <v>23.5</v>
      </c>
      <c r="F223" s="34">
        <f>'Daily Energy'!F223</f>
        <v>11816</v>
      </c>
      <c r="G223" s="34">
        <f>'Daily Energy'!G223</f>
        <v>1663</v>
      </c>
      <c r="H223" s="34">
        <f t="shared" si="24"/>
        <v>13479</v>
      </c>
      <c r="I223" s="36">
        <f t="shared" si="25"/>
        <v>45962</v>
      </c>
      <c r="J223" s="34" t="str">
        <f t="shared" si="26"/>
        <v/>
      </c>
      <c r="K223" s="34">
        <f t="shared" si="27"/>
        <v>13479</v>
      </c>
      <c r="L223" s="33">
        <f>IF(AND(C223="No",H223&gt;'Analysis Summary'!$B$5),1,0)</f>
        <v>0</v>
      </c>
      <c r="M223" s="33" t="str">
        <f>IF(L223=1,SUM($L$2:L223),"")</f>
        <v/>
      </c>
      <c r="N223" s="33">
        <f>IF(C223="Yes",COUNTIF($C$2:C223,"Yes"),"")</f>
        <v>191</v>
      </c>
      <c r="P223" s="37">
        <v>222</v>
      </c>
      <c r="Q223" s="32">
        <f t="shared" si="28"/>
        <v>46006</v>
      </c>
      <c r="R223" s="34">
        <f t="shared" si="29"/>
        <v>2125</v>
      </c>
      <c r="S223" s="35">
        <f t="shared" si="30"/>
        <v>21.6</v>
      </c>
      <c r="T223" s="34">
        <f t="shared" si="31"/>
        <v>15307</v>
      </c>
    </row>
    <row r="224" spans="1:20" x14ac:dyDescent="0.25">
      <c r="A224" s="32">
        <f>'Daily Energy'!A224</f>
        <v>45970</v>
      </c>
      <c r="B224" s="33" t="str">
        <f>'Daily Energy'!B224</f>
        <v>Sunday</v>
      </c>
      <c r="C224" s="33" t="str">
        <f>'Daily Energy'!C224</f>
        <v>No</v>
      </c>
      <c r="D224" s="34">
        <f>'Daily Energy'!D224</f>
        <v>0</v>
      </c>
      <c r="E224" s="35">
        <f>'Daily Energy'!E224</f>
        <v>23.6</v>
      </c>
      <c r="F224" s="34">
        <f>'Daily Energy'!F224</f>
        <v>2908</v>
      </c>
      <c r="G224" s="34">
        <f>'Daily Energy'!G224</f>
        <v>1523</v>
      </c>
      <c r="H224" s="34">
        <f t="shared" si="24"/>
        <v>4431</v>
      </c>
      <c r="I224" s="36">
        <f t="shared" si="25"/>
        <v>45962</v>
      </c>
      <c r="J224" s="34">
        <f t="shared" si="26"/>
        <v>4431</v>
      </c>
      <c r="K224" s="34" t="str">
        <f t="shared" si="27"/>
        <v/>
      </c>
      <c r="L224" s="33">
        <f>IF(AND(C224="No",H224&gt;'Analysis Summary'!$B$5),1,0)</f>
        <v>0</v>
      </c>
      <c r="M224" s="33" t="str">
        <f>IF(L224=1,SUM($L$2:L224),"")</f>
        <v/>
      </c>
      <c r="N224" s="33" t="str">
        <f>IF(C224="Yes",COUNTIF($C$2:C224,"Yes"),"")</f>
        <v/>
      </c>
      <c r="P224" s="37">
        <v>223</v>
      </c>
      <c r="Q224" s="32">
        <f t="shared" si="28"/>
        <v>46007</v>
      </c>
      <c r="R224" s="34">
        <f t="shared" si="29"/>
        <v>1865</v>
      </c>
      <c r="S224" s="35">
        <f t="shared" si="30"/>
        <v>20.5</v>
      </c>
      <c r="T224" s="34">
        <f t="shared" si="31"/>
        <v>13860</v>
      </c>
    </row>
    <row r="225" spans="1:20" x14ac:dyDescent="0.25">
      <c r="A225" s="32">
        <f>'Daily Energy'!A225</f>
        <v>45971</v>
      </c>
      <c r="B225" s="33" t="str">
        <f>'Daily Energy'!B225</f>
        <v>Monday</v>
      </c>
      <c r="C225" s="33" t="str">
        <f>'Daily Energy'!C225</f>
        <v>Yes</v>
      </c>
      <c r="D225" s="34">
        <f>'Daily Energy'!D225</f>
        <v>1999</v>
      </c>
      <c r="E225" s="35">
        <f>'Daily Energy'!E225</f>
        <v>23.5</v>
      </c>
      <c r="F225" s="34">
        <f>'Daily Energy'!F225</f>
        <v>13016</v>
      </c>
      <c r="G225" s="34">
        <f>'Daily Energy'!G225</f>
        <v>1407</v>
      </c>
      <c r="H225" s="34">
        <f t="shared" si="24"/>
        <v>14423</v>
      </c>
      <c r="I225" s="36">
        <f t="shared" si="25"/>
        <v>45962</v>
      </c>
      <c r="J225" s="34" t="str">
        <f t="shared" si="26"/>
        <v/>
      </c>
      <c r="K225" s="34">
        <f t="shared" si="27"/>
        <v>14423</v>
      </c>
      <c r="L225" s="33">
        <f>IF(AND(C225="No",H225&gt;'Analysis Summary'!$B$5),1,0)</f>
        <v>0</v>
      </c>
      <c r="M225" s="33" t="str">
        <f>IF(L225=1,SUM($L$2:L225),"")</f>
        <v/>
      </c>
      <c r="N225" s="33">
        <f>IF(C225="Yes",COUNTIF($C$2:C225,"Yes"),"")</f>
        <v>192</v>
      </c>
      <c r="P225" s="37">
        <v>224</v>
      </c>
      <c r="Q225" s="32">
        <f t="shared" si="28"/>
        <v>46008</v>
      </c>
      <c r="R225" s="34">
        <f t="shared" si="29"/>
        <v>1597</v>
      </c>
      <c r="S225" s="35">
        <f t="shared" si="30"/>
        <v>21.9</v>
      </c>
      <c r="T225" s="34">
        <f t="shared" si="31"/>
        <v>11972</v>
      </c>
    </row>
    <row r="226" spans="1:20" x14ac:dyDescent="0.25">
      <c r="A226" s="32">
        <f>'Daily Energy'!A226</f>
        <v>45972</v>
      </c>
      <c r="B226" s="33" t="str">
        <f>'Daily Energy'!B226</f>
        <v>Tuesday</v>
      </c>
      <c r="C226" s="33" t="str">
        <f>'Daily Energy'!C226</f>
        <v>Yes</v>
      </c>
      <c r="D226" s="34">
        <f>'Daily Energy'!D226</f>
        <v>1670</v>
      </c>
      <c r="E226" s="35">
        <f>'Daily Energy'!E226</f>
        <v>25.2</v>
      </c>
      <c r="F226" s="34">
        <f>'Daily Energy'!F226</f>
        <v>10793</v>
      </c>
      <c r="G226" s="34">
        <f>'Daily Energy'!G226</f>
        <v>1695</v>
      </c>
      <c r="H226" s="34">
        <f t="shared" si="24"/>
        <v>12488</v>
      </c>
      <c r="I226" s="36">
        <f t="shared" si="25"/>
        <v>45962</v>
      </c>
      <c r="J226" s="34" t="str">
        <f t="shared" si="26"/>
        <v/>
      </c>
      <c r="K226" s="34">
        <f t="shared" si="27"/>
        <v>12488</v>
      </c>
      <c r="L226" s="33">
        <f>IF(AND(C226="No",H226&gt;'Analysis Summary'!$B$5),1,0)</f>
        <v>0</v>
      </c>
      <c r="M226" s="33" t="str">
        <f>IF(L226=1,SUM($L$2:L226),"")</f>
        <v/>
      </c>
      <c r="N226" s="33">
        <f>IF(C226="Yes",COUNTIF($C$2:C226,"Yes"),"")</f>
        <v>193</v>
      </c>
      <c r="P226" s="37">
        <v>225</v>
      </c>
      <c r="Q226" s="32">
        <f t="shared" si="28"/>
        <v>46009</v>
      </c>
      <c r="R226" s="34">
        <f t="shared" si="29"/>
        <v>1929</v>
      </c>
      <c r="S226" s="35">
        <f t="shared" si="30"/>
        <v>23.9</v>
      </c>
      <c r="T226" s="34">
        <f t="shared" si="31"/>
        <v>13823</v>
      </c>
    </row>
    <row r="227" spans="1:20" x14ac:dyDescent="0.25">
      <c r="A227" s="32">
        <f>'Daily Energy'!A227</f>
        <v>45973</v>
      </c>
      <c r="B227" s="33" t="str">
        <f>'Daily Energy'!B227</f>
        <v>Wednesday</v>
      </c>
      <c r="C227" s="33" t="str">
        <f>'Daily Energy'!C227</f>
        <v>Yes</v>
      </c>
      <c r="D227" s="34">
        <f>'Daily Energy'!D227</f>
        <v>1720</v>
      </c>
      <c r="E227" s="35">
        <f>'Daily Energy'!E227</f>
        <v>21.9</v>
      </c>
      <c r="F227" s="34">
        <f>'Daily Energy'!F227</f>
        <v>11676</v>
      </c>
      <c r="G227" s="34">
        <f>'Daily Energy'!G227</f>
        <v>1760</v>
      </c>
      <c r="H227" s="34">
        <f t="shared" si="24"/>
        <v>13436</v>
      </c>
      <c r="I227" s="36">
        <f t="shared" si="25"/>
        <v>45962</v>
      </c>
      <c r="J227" s="34" t="str">
        <f t="shared" si="26"/>
        <v/>
      </c>
      <c r="K227" s="34">
        <f t="shared" si="27"/>
        <v>13436</v>
      </c>
      <c r="L227" s="33">
        <f>IF(AND(C227="No",H227&gt;'Analysis Summary'!$B$5),1,0)</f>
        <v>0</v>
      </c>
      <c r="M227" s="33" t="str">
        <f>IF(L227=1,SUM($L$2:L227),"")</f>
        <v/>
      </c>
      <c r="N227" s="33">
        <f>IF(C227="Yes",COUNTIF($C$2:C227,"Yes"),"")</f>
        <v>194</v>
      </c>
      <c r="P227" s="37">
        <v>226</v>
      </c>
      <c r="Q227" s="32">
        <f t="shared" si="28"/>
        <v>46010</v>
      </c>
      <c r="R227" s="34">
        <f t="shared" si="29"/>
        <v>1492</v>
      </c>
      <c r="S227" s="35">
        <f t="shared" si="30"/>
        <v>21.7</v>
      </c>
      <c r="T227" s="34">
        <f t="shared" si="31"/>
        <v>11547</v>
      </c>
    </row>
    <row r="228" spans="1:20" x14ac:dyDescent="0.25">
      <c r="A228" s="32">
        <f>'Daily Energy'!A228</f>
        <v>45974</v>
      </c>
      <c r="B228" s="33" t="str">
        <f>'Daily Energy'!B228</f>
        <v>Thursday</v>
      </c>
      <c r="C228" s="33" t="str">
        <f>'Daily Energy'!C228</f>
        <v>Yes</v>
      </c>
      <c r="D228" s="34">
        <f>'Daily Energy'!D228</f>
        <v>1696</v>
      </c>
      <c r="E228" s="35">
        <f>'Daily Energy'!E228</f>
        <v>25.1</v>
      </c>
      <c r="F228" s="34">
        <f>'Daily Energy'!F228</f>
        <v>10918</v>
      </c>
      <c r="G228" s="34">
        <f>'Daily Energy'!G228</f>
        <v>1610</v>
      </c>
      <c r="H228" s="34">
        <f t="shared" si="24"/>
        <v>12528</v>
      </c>
      <c r="I228" s="36">
        <f t="shared" si="25"/>
        <v>45962</v>
      </c>
      <c r="J228" s="34" t="str">
        <f t="shared" si="26"/>
        <v/>
      </c>
      <c r="K228" s="34">
        <f t="shared" si="27"/>
        <v>12528</v>
      </c>
      <c r="L228" s="33">
        <f>IF(AND(C228="No",H228&gt;'Analysis Summary'!$B$5),1,0)</f>
        <v>0</v>
      </c>
      <c r="M228" s="33" t="str">
        <f>IF(L228=1,SUM($L$2:L228),"")</f>
        <v/>
      </c>
      <c r="N228" s="33">
        <f>IF(C228="Yes",COUNTIF($C$2:C228,"Yes"),"")</f>
        <v>195</v>
      </c>
      <c r="P228" s="37">
        <v>227</v>
      </c>
      <c r="Q228" s="32">
        <f t="shared" si="28"/>
        <v>46011</v>
      </c>
      <c r="R228" s="34">
        <f t="shared" si="29"/>
        <v>1755</v>
      </c>
      <c r="S228" s="35">
        <f t="shared" si="30"/>
        <v>22.3</v>
      </c>
      <c r="T228" s="34">
        <f t="shared" si="31"/>
        <v>12841</v>
      </c>
    </row>
    <row r="229" spans="1:20" x14ac:dyDescent="0.25">
      <c r="A229" s="32">
        <f>'Daily Energy'!A229</f>
        <v>45975</v>
      </c>
      <c r="B229" s="33" t="str">
        <f>'Daily Energy'!B229</f>
        <v>Friday</v>
      </c>
      <c r="C229" s="33" t="str">
        <f>'Daily Energy'!C229</f>
        <v>Yes</v>
      </c>
      <c r="D229" s="34">
        <f>'Daily Energy'!D229</f>
        <v>1777</v>
      </c>
      <c r="E229" s="35">
        <f>'Daily Energy'!E229</f>
        <v>23.2</v>
      </c>
      <c r="F229" s="34">
        <f>'Daily Energy'!F229</f>
        <v>11826</v>
      </c>
      <c r="G229" s="34">
        <f>'Daily Energy'!G229</f>
        <v>1509</v>
      </c>
      <c r="H229" s="34">
        <f t="shared" si="24"/>
        <v>13335</v>
      </c>
      <c r="I229" s="36">
        <f t="shared" si="25"/>
        <v>45962</v>
      </c>
      <c r="J229" s="34" t="str">
        <f t="shared" si="26"/>
        <v/>
      </c>
      <c r="K229" s="34">
        <f t="shared" si="27"/>
        <v>13335</v>
      </c>
      <c r="L229" s="33">
        <f>IF(AND(C229="No",H229&gt;'Analysis Summary'!$B$5),1,0)</f>
        <v>0</v>
      </c>
      <c r="M229" s="33" t="str">
        <f>IF(L229=1,SUM($L$2:L229),"")</f>
        <v/>
      </c>
      <c r="N229" s="33">
        <f>IF(C229="Yes",COUNTIF($C$2:C229,"Yes"),"")</f>
        <v>196</v>
      </c>
      <c r="P229" s="37">
        <v>228</v>
      </c>
      <c r="Q229" s="32">
        <f t="shared" si="28"/>
        <v>46013</v>
      </c>
      <c r="R229" s="34">
        <f t="shared" si="29"/>
        <v>1607</v>
      </c>
      <c r="S229" s="35">
        <f t="shared" si="30"/>
        <v>22.8</v>
      </c>
      <c r="T229" s="34">
        <f t="shared" si="31"/>
        <v>12241</v>
      </c>
    </row>
    <row r="230" spans="1:20" x14ac:dyDescent="0.25">
      <c r="A230" s="32">
        <f>'Daily Energy'!A230</f>
        <v>45976</v>
      </c>
      <c r="B230" s="33" t="str">
        <f>'Daily Energy'!B230</f>
        <v>Saturday</v>
      </c>
      <c r="C230" s="33" t="str">
        <f>'Daily Energy'!C230</f>
        <v>Yes</v>
      </c>
      <c r="D230" s="34">
        <f>'Daily Energy'!D230</f>
        <v>1896</v>
      </c>
      <c r="E230" s="35">
        <f>'Daily Energy'!E230</f>
        <v>23.3</v>
      </c>
      <c r="F230" s="34">
        <f>'Daily Energy'!F230</f>
        <v>12250</v>
      </c>
      <c r="G230" s="34">
        <f>'Daily Energy'!G230</f>
        <v>1653</v>
      </c>
      <c r="H230" s="34">
        <f t="shared" si="24"/>
        <v>13903</v>
      </c>
      <c r="I230" s="36">
        <f t="shared" si="25"/>
        <v>45962</v>
      </c>
      <c r="J230" s="34" t="str">
        <f t="shared" si="26"/>
        <v/>
      </c>
      <c r="K230" s="34">
        <f t="shared" si="27"/>
        <v>13903</v>
      </c>
      <c r="L230" s="33">
        <f>IF(AND(C230="No",H230&gt;'Analysis Summary'!$B$5),1,0)</f>
        <v>0</v>
      </c>
      <c r="M230" s="33" t="str">
        <f>IF(L230=1,SUM($L$2:L230),"")</f>
        <v/>
      </c>
      <c r="N230" s="33">
        <f>IF(C230="Yes",COUNTIF($C$2:C230,"Yes"),"")</f>
        <v>197</v>
      </c>
      <c r="P230" s="37">
        <v>229</v>
      </c>
      <c r="Q230" s="32">
        <f t="shared" si="28"/>
        <v>46014</v>
      </c>
      <c r="R230" s="34">
        <f t="shared" si="29"/>
        <v>1713</v>
      </c>
      <c r="S230" s="35">
        <f t="shared" si="30"/>
        <v>21</v>
      </c>
      <c r="T230" s="34">
        <f t="shared" si="31"/>
        <v>13544</v>
      </c>
    </row>
    <row r="231" spans="1:20" x14ac:dyDescent="0.25">
      <c r="A231" s="32">
        <f>'Daily Energy'!A231</f>
        <v>45977</v>
      </c>
      <c r="B231" s="33" t="str">
        <f>'Daily Energy'!B231</f>
        <v>Sunday</v>
      </c>
      <c r="C231" s="33" t="str">
        <f>'Daily Energy'!C231</f>
        <v>No</v>
      </c>
      <c r="D231" s="34">
        <f>'Daily Energy'!D231</f>
        <v>0</v>
      </c>
      <c r="E231" s="35">
        <f>'Daily Energy'!E231</f>
        <v>24.9</v>
      </c>
      <c r="F231" s="34">
        <f>'Daily Energy'!F231</f>
        <v>2629</v>
      </c>
      <c r="G231" s="34">
        <f>'Daily Energy'!G231</f>
        <v>1643</v>
      </c>
      <c r="H231" s="34">
        <f t="shared" si="24"/>
        <v>4272</v>
      </c>
      <c r="I231" s="36">
        <f t="shared" si="25"/>
        <v>45962</v>
      </c>
      <c r="J231" s="34">
        <f t="shared" si="26"/>
        <v>4272</v>
      </c>
      <c r="K231" s="34" t="str">
        <f t="shared" si="27"/>
        <v/>
      </c>
      <c r="L231" s="33">
        <f>IF(AND(C231="No",H231&gt;'Analysis Summary'!$B$5),1,0)</f>
        <v>0</v>
      </c>
      <c r="M231" s="33" t="str">
        <f>IF(L231=1,SUM($L$2:L231),"")</f>
        <v/>
      </c>
      <c r="N231" s="33" t="str">
        <f>IF(C231="Yes",COUNTIF($C$2:C231,"Yes"),"")</f>
        <v/>
      </c>
      <c r="P231" s="37">
        <v>230</v>
      </c>
      <c r="Q231" s="32">
        <f t="shared" si="28"/>
        <v>46015</v>
      </c>
      <c r="R231" s="34">
        <f t="shared" si="29"/>
        <v>1833</v>
      </c>
      <c r="S231" s="35">
        <f t="shared" si="30"/>
        <v>24.4</v>
      </c>
      <c r="T231" s="34">
        <f t="shared" si="31"/>
        <v>13690</v>
      </c>
    </row>
    <row r="232" spans="1:20" x14ac:dyDescent="0.25">
      <c r="A232" s="32">
        <f>'Daily Energy'!A232</f>
        <v>45978</v>
      </c>
      <c r="B232" s="33" t="str">
        <f>'Daily Energy'!B232</f>
        <v>Monday</v>
      </c>
      <c r="C232" s="33" t="str">
        <f>'Daily Energy'!C232</f>
        <v>Yes</v>
      </c>
      <c r="D232" s="34">
        <f>'Daily Energy'!D232</f>
        <v>1544</v>
      </c>
      <c r="E232" s="35">
        <f>'Daily Energy'!E232</f>
        <v>22.8</v>
      </c>
      <c r="F232" s="34">
        <f>'Daily Energy'!F232</f>
        <v>10688</v>
      </c>
      <c r="G232" s="34">
        <f>'Daily Energy'!G232</f>
        <v>1777</v>
      </c>
      <c r="H232" s="34">
        <f t="shared" si="24"/>
        <v>12465</v>
      </c>
      <c r="I232" s="36">
        <f t="shared" si="25"/>
        <v>45962</v>
      </c>
      <c r="J232" s="34" t="str">
        <f t="shared" si="26"/>
        <v/>
      </c>
      <c r="K232" s="34">
        <f t="shared" si="27"/>
        <v>12465</v>
      </c>
      <c r="L232" s="33">
        <f>IF(AND(C232="No",H232&gt;'Analysis Summary'!$B$5),1,0)</f>
        <v>0</v>
      </c>
      <c r="M232" s="33" t="str">
        <f>IF(L232=1,SUM($L$2:L232),"")</f>
        <v/>
      </c>
      <c r="N232" s="33">
        <f>IF(C232="Yes",COUNTIF($C$2:C232,"Yes"),"")</f>
        <v>198</v>
      </c>
      <c r="P232" s="37">
        <v>231</v>
      </c>
      <c r="Q232" s="32">
        <f t="shared" si="28"/>
        <v>46016</v>
      </c>
      <c r="R232" s="34">
        <f t="shared" si="29"/>
        <v>1891</v>
      </c>
      <c r="S232" s="35">
        <f t="shared" si="30"/>
        <v>20.8</v>
      </c>
      <c r="T232" s="34">
        <f t="shared" si="31"/>
        <v>13513</v>
      </c>
    </row>
    <row r="233" spans="1:20" x14ac:dyDescent="0.25">
      <c r="A233" s="32">
        <f>'Daily Energy'!A233</f>
        <v>45979</v>
      </c>
      <c r="B233" s="33" t="str">
        <f>'Daily Energy'!B233</f>
        <v>Tuesday</v>
      </c>
      <c r="C233" s="33" t="str">
        <f>'Daily Energy'!C233</f>
        <v>Yes</v>
      </c>
      <c r="D233" s="34">
        <f>'Daily Energy'!D233</f>
        <v>1925</v>
      </c>
      <c r="E233" s="35">
        <f>'Daily Energy'!E233</f>
        <v>23.7</v>
      </c>
      <c r="F233" s="34">
        <f>'Daily Energy'!F233</f>
        <v>12505</v>
      </c>
      <c r="G233" s="34">
        <f>'Daily Energy'!G233</f>
        <v>2027</v>
      </c>
      <c r="H233" s="34">
        <f t="shared" si="24"/>
        <v>14532</v>
      </c>
      <c r="I233" s="36">
        <f t="shared" si="25"/>
        <v>45962</v>
      </c>
      <c r="J233" s="34" t="str">
        <f t="shared" si="26"/>
        <v/>
      </c>
      <c r="K233" s="34">
        <f t="shared" si="27"/>
        <v>14532</v>
      </c>
      <c r="L233" s="33">
        <f>IF(AND(C233="No",H233&gt;'Analysis Summary'!$B$5),1,0)</f>
        <v>0</v>
      </c>
      <c r="M233" s="33" t="str">
        <f>IF(L233=1,SUM($L$2:L233),"")</f>
        <v/>
      </c>
      <c r="N233" s="33">
        <f>IF(C233="Yes",COUNTIF($C$2:C233,"Yes"),"")</f>
        <v>199</v>
      </c>
      <c r="P233" s="37">
        <v>232</v>
      </c>
      <c r="Q233" s="32">
        <f t="shared" si="28"/>
        <v>46017</v>
      </c>
      <c r="R233" s="34">
        <f t="shared" si="29"/>
        <v>1662</v>
      </c>
      <c r="S233" s="35">
        <f t="shared" si="30"/>
        <v>22.2</v>
      </c>
      <c r="T233" s="34">
        <f t="shared" si="31"/>
        <v>12628</v>
      </c>
    </row>
    <row r="234" spans="1:20" x14ac:dyDescent="0.25">
      <c r="A234" s="32">
        <f>'Daily Energy'!A234</f>
        <v>45980</v>
      </c>
      <c r="B234" s="33" t="str">
        <f>'Daily Energy'!B234</f>
        <v>Wednesday</v>
      </c>
      <c r="C234" s="33" t="str">
        <f>'Daily Energy'!C234</f>
        <v>Yes</v>
      </c>
      <c r="D234" s="34">
        <f>'Daily Energy'!D234</f>
        <v>1751</v>
      </c>
      <c r="E234" s="35">
        <f>'Daily Energy'!E234</f>
        <v>25.6</v>
      </c>
      <c r="F234" s="34">
        <f>'Daily Energy'!F234</f>
        <v>11411</v>
      </c>
      <c r="G234" s="34">
        <f>'Daily Energy'!G234</f>
        <v>1602</v>
      </c>
      <c r="H234" s="34">
        <f t="shared" si="24"/>
        <v>13013</v>
      </c>
      <c r="I234" s="36">
        <f t="shared" si="25"/>
        <v>45962</v>
      </c>
      <c r="J234" s="34" t="str">
        <f t="shared" si="26"/>
        <v/>
      </c>
      <c r="K234" s="34">
        <f t="shared" si="27"/>
        <v>13013</v>
      </c>
      <c r="L234" s="33">
        <f>IF(AND(C234="No",H234&gt;'Analysis Summary'!$B$5),1,0)</f>
        <v>0</v>
      </c>
      <c r="M234" s="33" t="str">
        <f>IF(L234=1,SUM($L$2:L234),"")</f>
        <v/>
      </c>
      <c r="N234" s="33">
        <f>IF(C234="Yes",COUNTIF($C$2:C234,"Yes"),"")</f>
        <v>200</v>
      </c>
      <c r="P234" s="37">
        <v>233</v>
      </c>
      <c r="Q234" s="32">
        <f t="shared" si="28"/>
        <v>46018</v>
      </c>
      <c r="R234" s="34">
        <f t="shared" si="29"/>
        <v>1582</v>
      </c>
      <c r="S234" s="35">
        <f t="shared" si="30"/>
        <v>23.6</v>
      </c>
      <c r="T234" s="34">
        <f t="shared" si="31"/>
        <v>11976</v>
      </c>
    </row>
    <row r="235" spans="1:20" x14ac:dyDescent="0.25">
      <c r="A235" s="32">
        <f>'Daily Energy'!A235</f>
        <v>45981</v>
      </c>
      <c r="B235" s="33" t="str">
        <f>'Daily Energy'!B235</f>
        <v>Thursday</v>
      </c>
      <c r="C235" s="33" t="str">
        <f>'Daily Energy'!C235</f>
        <v>Yes</v>
      </c>
      <c r="D235" s="34">
        <f>'Daily Energy'!D235</f>
        <v>1630</v>
      </c>
      <c r="E235" s="35">
        <f>'Daily Energy'!E235</f>
        <v>24.8</v>
      </c>
      <c r="F235" s="34">
        <f>'Daily Energy'!F235</f>
        <v>10820</v>
      </c>
      <c r="G235" s="34">
        <f>'Daily Energy'!G235</f>
        <v>1538</v>
      </c>
      <c r="H235" s="34">
        <f t="shared" si="24"/>
        <v>12358</v>
      </c>
      <c r="I235" s="36">
        <f t="shared" si="25"/>
        <v>45962</v>
      </c>
      <c r="J235" s="34" t="str">
        <f t="shared" si="26"/>
        <v/>
      </c>
      <c r="K235" s="34">
        <f t="shared" si="27"/>
        <v>12358</v>
      </c>
      <c r="L235" s="33">
        <f>IF(AND(C235="No",H235&gt;'Analysis Summary'!$B$5),1,0)</f>
        <v>0</v>
      </c>
      <c r="M235" s="33" t="str">
        <f>IF(L235=1,SUM($L$2:L235),"")</f>
        <v/>
      </c>
      <c r="N235" s="33">
        <f>IF(C235="Yes",COUNTIF($C$2:C235,"Yes"),"")</f>
        <v>201</v>
      </c>
      <c r="P235" s="37">
        <v>234</v>
      </c>
      <c r="Q235" s="32">
        <f t="shared" si="28"/>
        <v>46020</v>
      </c>
      <c r="R235" s="34">
        <f t="shared" si="29"/>
        <v>1753</v>
      </c>
      <c r="S235" s="35">
        <f t="shared" si="30"/>
        <v>19.100000000000001</v>
      </c>
      <c r="T235" s="34">
        <f t="shared" si="31"/>
        <v>12960</v>
      </c>
    </row>
    <row r="236" spans="1:20" x14ac:dyDescent="0.25">
      <c r="A236" s="32">
        <f>'Daily Energy'!A236</f>
        <v>45982</v>
      </c>
      <c r="B236" s="33" t="str">
        <f>'Daily Energy'!B236</f>
        <v>Friday</v>
      </c>
      <c r="C236" s="33" t="str">
        <f>'Daily Energy'!C236</f>
        <v>Yes</v>
      </c>
      <c r="D236" s="34">
        <f>'Daily Energy'!D236</f>
        <v>1713</v>
      </c>
      <c r="E236" s="35">
        <f>'Daily Energy'!E236</f>
        <v>25.5</v>
      </c>
      <c r="F236" s="34">
        <f>'Daily Energy'!F236</f>
        <v>11413</v>
      </c>
      <c r="G236" s="34">
        <f>'Daily Energy'!G236</f>
        <v>1853</v>
      </c>
      <c r="H236" s="34">
        <f t="shared" si="24"/>
        <v>13266</v>
      </c>
      <c r="I236" s="36">
        <f t="shared" si="25"/>
        <v>45962</v>
      </c>
      <c r="J236" s="34" t="str">
        <f t="shared" si="26"/>
        <v/>
      </c>
      <c r="K236" s="34">
        <f t="shared" si="27"/>
        <v>13266</v>
      </c>
      <c r="L236" s="33">
        <f>IF(AND(C236="No",H236&gt;'Analysis Summary'!$B$5),1,0)</f>
        <v>0</v>
      </c>
      <c r="M236" s="33" t="str">
        <f>IF(L236=1,SUM($L$2:L236),"")</f>
        <v/>
      </c>
      <c r="N236" s="33">
        <f>IF(C236="Yes",COUNTIF($C$2:C236,"Yes"),"")</f>
        <v>202</v>
      </c>
      <c r="P236" s="37">
        <v>235</v>
      </c>
      <c r="Q236" s="32">
        <f t="shared" si="28"/>
        <v>46021</v>
      </c>
      <c r="R236" s="34">
        <f t="shared" si="29"/>
        <v>1891</v>
      </c>
      <c r="S236" s="35">
        <f t="shared" si="30"/>
        <v>20.9</v>
      </c>
      <c r="T236" s="34">
        <f t="shared" si="31"/>
        <v>14083</v>
      </c>
    </row>
    <row r="237" spans="1:20" x14ac:dyDescent="0.25">
      <c r="A237" s="32">
        <f>'Daily Energy'!A237</f>
        <v>45983</v>
      </c>
      <c r="B237" s="33" t="str">
        <f>'Daily Energy'!B237</f>
        <v>Saturday</v>
      </c>
      <c r="C237" s="33" t="str">
        <f>'Daily Energy'!C237</f>
        <v>Yes</v>
      </c>
      <c r="D237" s="34">
        <f>'Daily Energy'!D237</f>
        <v>1814</v>
      </c>
      <c r="E237" s="35">
        <f>'Daily Energy'!E237</f>
        <v>25.1</v>
      </c>
      <c r="F237" s="34">
        <f>'Daily Energy'!F237</f>
        <v>12309</v>
      </c>
      <c r="G237" s="34">
        <f>'Daily Energy'!G237</f>
        <v>1404</v>
      </c>
      <c r="H237" s="34">
        <f t="shared" si="24"/>
        <v>13713</v>
      </c>
      <c r="I237" s="36">
        <f t="shared" si="25"/>
        <v>45962</v>
      </c>
      <c r="J237" s="34" t="str">
        <f t="shared" si="26"/>
        <v/>
      </c>
      <c r="K237" s="34">
        <f t="shared" si="27"/>
        <v>13713</v>
      </c>
      <c r="L237" s="33">
        <f>IF(AND(C237="No",H237&gt;'Analysis Summary'!$B$5),1,0)</f>
        <v>0</v>
      </c>
      <c r="M237" s="33" t="str">
        <f>IF(L237=1,SUM($L$2:L237),"")</f>
        <v/>
      </c>
      <c r="N237" s="33">
        <f>IF(C237="Yes",COUNTIF($C$2:C237,"Yes"),"")</f>
        <v>203</v>
      </c>
      <c r="P237" s="37">
        <v>236</v>
      </c>
      <c r="Q237" s="32">
        <f t="shared" si="28"/>
        <v>46022</v>
      </c>
      <c r="R237" s="34">
        <f t="shared" si="29"/>
        <v>1922</v>
      </c>
      <c r="S237" s="35">
        <f t="shared" si="30"/>
        <v>19.100000000000001</v>
      </c>
      <c r="T237" s="34">
        <f t="shared" si="31"/>
        <v>14675</v>
      </c>
    </row>
    <row r="238" spans="1:20" x14ac:dyDescent="0.25">
      <c r="A238" s="32">
        <f>'Daily Energy'!A238</f>
        <v>45984</v>
      </c>
      <c r="B238" s="33" t="str">
        <f>'Daily Energy'!B238</f>
        <v>Sunday</v>
      </c>
      <c r="C238" s="33" t="str">
        <f>'Daily Energy'!C238</f>
        <v>No</v>
      </c>
      <c r="D238" s="34">
        <f>'Daily Energy'!D238</f>
        <v>0</v>
      </c>
      <c r="E238" s="35">
        <f>'Daily Energy'!E238</f>
        <v>26.8</v>
      </c>
      <c r="F238" s="34">
        <f>'Daily Energy'!F238</f>
        <v>2820</v>
      </c>
      <c r="G238" s="34">
        <f>'Daily Energy'!G238</f>
        <v>1429</v>
      </c>
      <c r="H238" s="34">
        <f t="shared" si="24"/>
        <v>4249</v>
      </c>
      <c r="I238" s="36">
        <f t="shared" si="25"/>
        <v>45962</v>
      </c>
      <c r="J238" s="34">
        <f t="shared" si="26"/>
        <v>4249</v>
      </c>
      <c r="K238" s="34" t="str">
        <f t="shared" si="27"/>
        <v/>
      </c>
      <c r="L238" s="33">
        <f>IF(AND(C238="No",H238&gt;'Analysis Summary'!$B$5),1,0)</f>
        <v>0</v>
      </c>
      <c r="M238" s="33" t="str">
        <f>IF(L238=1,SUM($L$2:L238),"")</f>
        <v/>
      </c>
      <c r="N238" s="33" t="str">
        <f>IF(C238="Yes",COUNTIF($C$2:C238,"Yes"),"")</f>
        <v/>
      </c>
      <c r="P238" s="37">
        <v>237</v>
      </c>
      <c r="Q238" s="32">
        <f t="shared" si="28"/>
        <v>46023</v>
      </c>
      <c r="R238" s="34">
        <f t="shared" si="29"/>
        <v>1902</v>
      </c>
      <c r="S238" s="35">
        <f t="shared" si="30"/>
        <v>25</v>
      </c>
      <c r="T238" s="34">
        <f t="shared" si="31"/>
        <v>13720</v>
      </c>
    </row>
    <row r="239" spans="1:20" x14ac:dyDescent="0.25">
      <c r="A239" s="32">
        <f>'Daily Energy'!A239</f>
        <v>45985</v>
      </c>
      <c r="B239" s="33" t="str">
        <f>'Daily Energy'!B239</f>
        <v>Monday</v>
      </c>
      <c r="C239" s="33" t="str">
        <f>'Daily Energy'!C239</f>
        <v>Yes</v>
      </c>
      <c r="D239" s="34">
        <f>'Daily Energy'!D239</f>
        <v>1817</v>
      </c>
      <c r="E239" s="35">
        <f>'Daily Energy'!E239</f>
        <v>25.5</v>
      </c>
      <c r="F239" s="34">
        <f>'Daily Energy'!F239</f>
        <v>12007</v>
      </c>
      <c r="G239" s="34">
        <f>'Daily Energy'!G239</f>
        <v>1791</v>
      </c>
      <c r="H239" s="34">
        <f t="shared" si="24"/>
        <v>13798</v>
      </c>
      <c r="I239" s="36">
        <f t="shared" si="25"/>
        <v>45962</v>
      </c>
      <c r="J239" s="34" t="str">
        <f t="shared" si="26"/>
        <v/>
      </c>
      <c r="K239" s="34">
        <f t="shared" si="27"/>
        <v>13798</v>
      </c>
      <c r="L239" s="33">
        <f>IF(AND(C239="No",H239&gt;'Analysis Summary'!$B$5),1,0)</f>
        <v>0</v>
      </c>
      <c r="M239" s="33" t="str">
        <f>IF(L239=1,SUM($L$2:L239),"")</f>
        <v/>
      </c>
      <c r="N239" s="33">
        <f>IF(C239="Yes",COUNTIF($C$2:C239,"Yes"),"")</f>
        <v>204</v>
      </c>
      <c r="P239" s="37">
        <v>238</v>
      </c>
      <c r="Q239" s="32">
        <f t="shared" si="28"/>
        <v>46024</v>
      </c>
      <c r="R239" s="34">
        <f t="shared" si="29"/>
        <v>1881</v>
      </c>
      <c r="S239" s="35">
        <f t="shared" si="30"/>
        <v>19.7</v>
      </c>
      <c r="T239" s="34">
        <f t="shared" si="31"/>
        <v>13281</v>
      </c>
    </row>
    <row r="240" spans="1:20" x14ac:dyDescent="0.25">
      <c r="A240" s="32">
        <f>'Daily Energy'!A240</f>
        <v>45986</v>
      </c>
      <c r="B240" s="33" t="str">
        <f>'Daily Energy'!B240</f>
        <v>Tuesday</v>
      </c>
      <c r="C240" s="33" t="str">
        <f>'Daily Energy'!C240</f>
        <v>Yes</v>
      </c>
      <c r="D240" s="34">
        <f>'Daily Energy'!D240</f>
        <v>1836</v>
      </c>
      <c r="E240" s="35">
        <f>'Daily Energy'!E240</f>
        <v>21.2</v>
      </c>
      <c r="F240" s="34">
        <f>'Daily Energy'!F240</f>
        <v>12128</v>
      </c>
      <c r="G240" s="34">
        <f>'Daily Energy'!G240</f>
        <v>1602</v>
      </c>
      <c r="H240" s="34">
        <f t="shared" si="24"/>
        <v>13730</v>
      </c>
      <c r="I240" s="36">
        <f t="shared" si="25"/>
        <v>45962</v>
      </c>
      <c r="J240" s="34" t="str">
        <f t="shared" si="26"/>
        <v/>
      </c>
      <c r="K240" s="34">
        <f t="shared" si="27"/>
        <v>13730</v>
      </c>
      <c r="L240" s="33">
        <f>IF(AND(C240="No",H240&gt;'Analysis Summary'!$B$5),1,0)</f>
        <v>0</v>
      </c>
      <c r="M240" s="33" t="str">
        <f>IF(L240=1,SUM($L$2:L240),"")</f>
        <v/>
      </c>
      <c r="N240" s="33">
        <f>IF(C240="Yes",COUNTIF($C$2:C240,"Yes"),"")</f>
        <v>205</v>
      </c>
      <c r="P240" s="37">
        <v>239</v>
      </c>
      <c r="Q240" s="32">
        <f t="shared" si="28"/>
        <v>46025</v>
      </c>
      <c r="R240" s="34">
        <f t="shared" si="29"/>
        <v>1710</v>
      </c>
      <c r="S240" s="35">
        <f t="shared" si="30"/>
        <v>21.5</v>
      </c>
      <c r="T240" s="34">
        <f t="shared" si="31"/>
        <v>12574</v>
      </c>
    </row>
    <row r="241" spans="1:20" x14ac:dyDescent="0.25">
      <c r="A241" s="32">
        <f>'Daily Energy'!A241</f>
        <v>45987</v>
      </c>
      <c r="B241" s="33" t="str">
        <f>'Daily Energy'!B241</f>
        <v>Wednesday</v>
      </c>
      <c r="C241" s="33" t="str">
        <f>'Daily Energy'!C241</f>
        <v>Yes</v>
      </c>
      <c r="D241" s="34">
        <f>'Daily Energy'!D241</f>
        <v>1877</v>
      </c>
      <c r="E241" s="35">
        <f>'Daily Energy'!E241</f>
        <v>23.8</v>
      </c>
      <c r="F241" s="34">
        <f>'Daily Energy'!F241</f>
        <v>12340</v>
      </c>
      <c r="G241" s="34">
        <f>'Daily Energy'!G241</f>
        <v>1548</v>
      </c>
      <c r="H241" s="34">
        <f t="shared" si="24"/>
        <v>13888</v>
      </c>
      <c r="I241" s="36">
        <f t="shared" si="25"/>
        <v>45962</v>
      </c>
      <c r="J241" s="34" t="str">
        <f t="shared" si="26"/>
        <v/>
      </c>
      <c r="K241" s="34">
        <f t="shared" si="27"/>
        <v>13888</v>
      </c>
      <c r="L241" s="33">
        <f>IF(AND(C241="No",H241&gt;'Analysis Summary'!$B$5),1,0)</f>
        <v>0</v>
      </c>
      <c r="M241" s="33" t="str">
        <f>IF(L241=1,SUM($L$2:L241),"")</f>
        <v/>
      </c>
      <c r="N241" s="33">
        <f>IF(C241="Yes",COUNTIF($C$2:C241,"Yes"),"")</f>
        <v>206</v>
      </c>
      <c r="P241" s="37">
        <v>240</v>
      </c>
      <c r="Q241" s="32">
        <f t="shared" si="28"/>
        <v>46027</v>
      </c>
      <c r="R241" s="34">
        <f t="shared" si="29"/>
        <v>1903</v>
      </c>
      <c r="S241" s="35">
        <f t="shared" si="30"/>
        <v>24</v>
      </c>
      <c r="T241" s="34">
        <f t="shared" si="31"/>
        <v>13458</v>
      </c>
    </row>
    <row r="242" spans="1:20" x14ac:dyDescent="0.25">
      <c r="A242" s="32">
        <f>'Daily Energy'!A242</f>
        <v>45988</v>
      </c>
      <c r="B242" s="33" t="str">
        <f>'Daily Energy'!B242</f>
        <v>Thursday</v>
      </c>
      <c r="C242" s="33" t="str">
        <f>'Daily Energy'!C242</f>
        <v>Yes</v>
      </c>
      <c r="D242" s="34">
        <f>'Daily Energy'!D242</f>
        <v>1834</v>
      </c>
      <c r="E242" s="35">
        <f>'Daily Energy'!E242</f>
        <v>24.2</v>
      </c>
      <c r="F242" s="34">
        <f>'Daily Energy'!F242</f>
        <v>12374</v>
      </c>
      <c r="G242" s="34">
        <f>'Daily Energy'!G242</f>
        <v>1541</v>
      </c>
      <c r="H242" s="34">
        <f t="shared" si="24"/>
        <v>13915</v>
      </c>
      <c r="I242" s="36">
        <f t="shared" si="25"/>
        <v>45962</v>
      </c>
      <c r="J242" s="34" t="str">
        <f t="shared" si="26"/>
        <v/>
      </c>
      <c r="K242" s="34">
        <f t="shared" si="27"/>
        <v>13915</v>
      </c>
      <c r="L242" s="33">
        <f>IF(AND(C242="No",H242&gt;'Analysis Summary'!$B$5),1,0)</f>
        <v>0</v>
      </c>
      <c r="M242" s="33" t="str">
        <f>IF(L242=1,SUM($L$2:L242),"")</f>
        <v/>
      </c>
      <c r="N242" s="33">
        <f>IF(C242="Yes",COUNTIF($C$2:C242,"Yes"),"")</f>
        <v>207</v>
      </c>
      <c r="P242" s="37">
        <v>241</v>
      </c>
      <c r="Q242" s="32">
        <f t="shared" si="28"/>
        <v>46028</v>
      </c>
      <c r="R242" s="34">
        <f t="shared" si="29"/>
        <v>1628</v>
      </c>
      <c r="S242" s="35">
        <f t="shared" si="30"/>
        <v>19.2</v>
      </c>
      <c r="T242" s="34">
        <f t="shared" si="31"/>
        <v>11964</v>
      </c>
    </row>
    <row r="243" spans="1:20" x14ac:dyDescent="0.25">
      <c r="A243" s="32">
        <f>'Daily Energy'!A243</f>
        <v>45989</v>
      </c>
      <c r="B243" s="33" t="str">
        <f>'Daily Energy'!B243</f>
        <v>Friday</v>
      </c>
      <c r="C243" s="33" t="str">
        <f>'Daily Energy'!C243</f>
        <v>Yes</v>
      </c>
      <c r="D243" s="34">
        <f>'Daily Energy'!D243</f>
        <v>1694</v>
      </c>
      <c r="E243" s="35">
        <f>'Daily Energy'!E243</f>
        <v>22.7</v>
      </c>
      <c r="F243" s="34">
        <f>'Daily Energy'!F243</f>
        <v>10686</v>
      </c>
      <c r="G243" s="34">
        <f>'Daily Energy'!G243</f>
        <v>1614</v>
      </c>
      <c r="H243" s="34">
        <f t="shared" si="24"/>
        <v>12300</v>
      </c>
      <c r="I243" s="36">
        <f t="shared" si="25"/>
        <v>45962</v>
      </c>
      <c r="J243" s="34" t="str">
        <f t="shared" si="26"/>
        <v/>
      </c>
      <c r="K243" s="34">
        <f t="shared" si="27"/>
        <v>12300</v>
      </c>
      <c r="L243" s="33">
        <f>IF(AND(C243="No",H243&gt;'Analysis Summary'!$B$5),1,0)</f>
        <v>0</v>
      </c>
      <c r="M243" s="33" t="str">
        <f>IF(L243=1,SUM($L$2:L243),"")</f>
        <v/>
      </c>
      <c r="N243" s="33">
        <f>IF(C243="Yes",COUNTIF($C$2:C243,"Yes"),"")</f>
        <v>208</v>
      </c>
      <c r="P243" s="37">
        <v>242</v>
      </c>
      <c r="Q243" s="32">
        <f t="shared" si="28"/>
        <v>46029</v>
      </c>
      <c r="R243" s="34">
        <f t="shared" si="29"/>
        <v>2028</v>
      </c>
      <c r="S243" s="35">
        <f t="shared" si="30"/>
        <v>23</v>
      </c>
      <c r="T243" s="34">
        <f t="shared" si="31"/>
        <v>14613</v>
      </c>
    </row>
    <row r="244" spans="1:20" x14ac:dyDescent="0.25">
      <c r="A244" s="32">
        <f>'Daily Energy'!A244</f>
        <v>45990</v>
      </c>
      <c r="B244" s="33" t="str">
        <f>'Daily Energy'!B244</f>
        <v>Saturday</v>
      </c>
      <c r="C244" s="33" t="str">
        <f>'Daily Energy'!C244</f>
        <v>Yes</v>
      </c>
      <c r="D244" s="34">
        <f>'Daily Energy'!D244</f>
        <v>1826</v>
      </c>
      <c r="E244" s="35">
        <f>'Daily Energy'!E244</f>
        <v>20.6</v>
      </c>
      <c r="F244" s="34">
        <f>'Daily Energy'!F244</f>
        <v>12176</v>
      </c>
      <c r="G244" s="34">
        <f>'Daily Energy'!G244</f>
        <v>1492</v>
      </c>
      <c r="H244" s="34">
        <f t="shared" si="24"/>
        <v>13668</v>
      </c>
      <c r="I244" s="36">
        <f t="shared" si="25"/>
        <v>45962</v>
      </c>
      <c r="J244" s="34" t="str">
        <f t="shared" si="26"/>
        <v/>
      </c>
      <c r="K244" s="34">
        <f t="shared" si="27"/>
        <v>13668</v>
      </c>
      <c r="L244" s="33">
        <f>IF(AND(C244="No",H244&gt;'Analysis Summary'!$B$5),1,0)</f>
        <v>0</v>
      </c>
      <c r="M244" s="33" t="str">
        <f>IF(L244=1,SUM($L$2:L244),"")</f>
        <v/>
      </c>
      <c r="N244" s="33">
        <f>IF(C244="Yes",COUNTIF($C$2:C244,"Yes"),"")</f>
        <v>209</v>
      </c>
      <c r="P244" s="37">
        <v>243</v>
      </c>
      <c r="Q244" s="32">
        <f t="shared" si="28"/>
        <v>46030</v>
      </c>
      <c r="R244" s="34">
        <f t="shared" si="29"/>
        <v>1975</v>
      </c>
      <c r="S244" s="35">
        <f t="shared" si="30"/>
        <v>22</v>
      </c>
      <c r="T244" s="34">
        <f t="shared" si="31"/>
        <v>14336</v>
      </c>
    </row>
    <row r="245" spans="1:20" x14ac:dyDescent="0.25">
      <c r="A245" s="32">
        <f>'Daily Energy'!A245</f>
        <v>45991</v>
      </c>
      <c r="B245" s="33" t="str">
        <f>'Daily Energy'!B245</f>
        <v>Sunday</v>
      </c>
      <c r="C245" s="33" t="str">
        <f>'Daily Energy'!C245</f>
        <v>No</v>
      </c>
      <c r="D245" s="34">
        <f>'Daily Energy'!D245</f>
        <v>0</v>
      </c>
      <c r="E245" s="35">
        <f>'Daily Energy'!E245</f>
        <v>22.4</v>
      </c>
      <c r="F245" s="34">
        <f>'Daily Energy'!F245</f>
        <v>2326</v>
      </c>
      <c r="G245" s="34">
        <f>'Daily Energy'!G245</f>
        <v>1514</v>
      </c>
      <c r="H245" s="34">
        <f t="shared" si="24"/>
        <v>3840</v>
      </c>
      <c r="I245" s="36">
        <f t="shared" si="25"/>
        <v>45962</v>
      </c>
      <c r="J245" s="34">
        <f t="shared" si="26"/>
        <v>3840</v>
      </c>
      <c r="K245" s="34" t="str">
        <f t="shared" si="27"/>
        <v/>
      </c>
      <c r="L245" s="33">
        <f>IF(AND(C245="No",H245&gt;'Analysis Summary'!$B$5),1,0)</f>
        <v>0</v>
      </c>
      <c r="M245" s="33" t="str">
        <f>IF(L245=1,SUM($L$2:L245),"")</f>
        <v/>
      </c>
      <c r="N245" s="33" t="str">
        <f>IF(C245="Yes",COUNTIF($C$2:C245,"Yes"),"")</f>
        <v/>
      </c>
      <c r="P245" s="37">
        <v>244</v>
      </c>
      <c r="Q245" s="32">
        <f t="shared" si="28"/>
        <v>46031</v>
      </c>
      <c r="R245" s="34">
        <f t="shared" si="29"/>
        <v>1740</v>
      </c>
      <c r="S245" s="35">
        <f t="shared" si="30"/>
        <v>19.100000000000001</v>
      </c>
      <c r="T245" s="34">
        <f t="shared" si="31"/>
        <v>12940</v>
      </c>
    </row>
    <row r="246" spans="1:20" x14ac:dyDescent="0.25">
      <c r="A246" s="32">
        <f>'Daily Energy'!A246</f>
        <v>45992</v>
      </c>
      <c r="B246" s="33" t="str">
        <f>'Daily Energy'!B246</f>
        <v>Monday</v>
      </c>
      <c r="C246" s="33" t="str">
        <f>'Daily Energy'!C246</f>
        <v>Yes</v>
      </c>
      <c r="D246" s="34">
        <f>'Daily Energy'!D246</f>
        <v>1888</v>
      </c>
      <c r="E246" s="35">
        <f>'Daily Energy'!E246</f>
        <v>24.2</v>
      </c>
      <c r="F246" s="34">
        <f>'Daily Energy'!F246</f>
        <v>12191</v>
      </c>
      <c r="G246" s="34">
        <f>'Daily Energy'!G246</f>
        <v>1740</v>
      </c>
      <c r="H246" s="34">
        <f t="shared" si="24"/>
        <v>13931</v>
      </c>
      <c r="I246" s="36">
        <f t="shared" si="25"/>
        <v>45992</v>
      </c>
      <c r="J246" s="34" t="str">
        <f t="shared" si="26"/>
        <v/>
      </c>
      <c r="K246" s="34">
        <f t="shared" si="27"/>
        <v>13931</v>
      </c>
      <c r="L246" s="33">
        <f>IF(AND(C246="No",H246&gt;'Analysis Summary'!$B$5),1,0)</f>
        <v>0</v>
      </c>
      <c r="M246" s="33" t="str">
        <f>IF(L246=1,SUM($L$2:L246),"")</f>
        <v/>
      </c>
      <c r="N246" s="33">
        <f>IF(C246="Yes",COUNTIF($C$2:C246,"Yes"),"")</f>
        <v>210</v>
      </c>
      <c r="P246" s="37">
        <v>245</v>
      </c>
      <c r="Q246" s="32">
        <f t="shared" si="28"/>
        <v>46032</v>
      </c>
      <c r="R246" s="34">
        <f t="shared" si="29"/>
        <v>1844</v>
      </c>
      <c r="S246" s="35">
        <f t="shared" si="30"/>
        <v>22.4</v>
      </c>
      <c r="T246" s="34">
        <f t="shared" si="31"/>
        <v>13617</v>
      </c>
    </row>
    <row r="247" spans="1:20" x14ac:dyDescent="0.25">
      <c r="A247" s="32">
        <f>'Daily Energy'!A247</f>
        <v>45993</v>
      </c>
      <c r="B247" s="33" t="str">
        <f>'Daily Energy'!B247</f>
        <v>Tuesday</v>
      </c>
      <c r="C247" s="33" t="str">
        <f>'Daily Energy'!C247</f>
        <v>Yes</v>
      </c>
      <c r="D247" s="34">
        <f>'Daily Energy'!D247</f>
        <v>1881</v>
      </c>
      <c r="E247" s="35">
        <f>'Daily Energy'!E247</f>
        <v>25.6</v>
      </c>
      <c r="F247" s="34">
        <f>'Daily Energy'!F247</f>
        <v>12444</v>
      </c>
      <c r="G247" s="34">
        <f>'Daily Energy'!G247</f>
        <v>1826</v>
      </c>
      <c r="H247" s="34">
        <f t="shared" si="24"/>
        <v>14270</v>
      </c>
      <c r="I247" s="36">
        <f t="shared" si="25"/>
        <v>45992</v>
      </c>
      <c r="J247" s="34" t="str">
        <f t="shared" si="26"/>
        <v/>
      </c>
      <c r="K247" s="34">
        <f t="shared" si="27"/>
        <v>14270</v>
      </c>
      <c r="L247" s="33">
        <f>IF(AND(C247="No",H247&gt;'Analysis Summary'!$B$5),1,0)</f>
        <v>0</v>
      </c>
      <c r="M247" s="33" t="str">
        <f>IF(L247=1,SUM($L$2:L247),"")</f>
        <v/>
      </c>
      <c r="N247" s="33">
        <f>IF(C247="Yes",COUNTIF($C$2:C247,"Yes"),"")</f>
        <v>211</v>
      </c>
      <c r="P247" s="37">
        <v>246</v>
      </c>
      <c r="Q247" s="32">
        <f t="shared" si="28"/>
        <v>46034</v>
      </c>
      <c r="R247" s="34">
        <f t="shared" si="29"/>
        <v>1921</v>
      </c>
      <c r="S247" s="35">
        <f t="shared" si="30"/>
        <v>21.3</v>
      </c>
      <c r="T247" s="34">
        <f t="shared" si="31"/>
        <v>14158</v>
      </c>
    </row>
    <row r="248" spans="1:20" x14ac:dyDescent="0.25">
      <c r="A248" s="32">
        <f>'Daily Energy'!A248</f>
        <v>45994</v>
      </c>
      <c r="B248" s="33" t="str">
        <f>'Daily Energy'!B248</f>
        <v>Wednesday</v>
      </c>
      <c r="C248" s="33" t="str">
        <f>'Daily Energy'!C248</f>
        <v>Yes</v>
      </c>
      <c r="D248" s="34">
        <f>'Daily Energy'!D248</f>
        <v>1900</v>
      </c>
      <c r="E248" s="35">
        <f>'Daily Energy'!E248</f>
        <v>20.8</v>
      </c>
      <c r="F248" s="34">
        <f>'Daily Energy'!F248</f>
        <v>12278</v>
      </c>
      <c r="G248" s="34">
        <f>'Daily Energy'!G248</f>
        <v>1644</v>
      </c>
      <c r="H248" s="34">
        <f t="shared" si="24"/>
        <v>13922</v>
      </c>
      <c r="I248" s="36">
        <f t="shared" si="25"/>
        <v>45992</v>
      </c>
      <c r="J248" s="34" t="str">
        <f t="shared" si="26"/>
        <v/>
      </c>
      <c r="K248" s="34">
        <f t="shared" si="27"/>
        <v>13922</v>
      </c>
      <c r="L248" s="33">
        <f>IF(AND(C248="No",H248&gt;'Analysis Summary'!$B$5),1,0)</f>
        <v>0</v>
      </c>
      <c r="M248" s="33" t="str">
        <f>IF(L248=1,SUM($L$2:L248),"")</f>
        <v/>
      </c>
      <c r="N248" s="33">
        <f>IF(C248="Yes",COUNTIF($C$2:C248,"Yes"),"")</f>
        <v>212</v>
      </c>
      <c r="P248" s="37">
        <v>247</v>
      </c>
      <c r="Q248" s="32">
        <f t="shared" si="28"/>
        <v>46035</v>
      </c>
      <c r="R248" s="34">
        <f t="shared" si="29"/>
        <v>1949</v>
      </c>
      <c r="S248" s="35">
        <f t="shared" si="30"/>
        <v>19</v>
      </c>
      <c r="T248" s="34">
        <f t="shared" si="31"/>
        <v>13621</v>
      </c>
    </row>
    <row r="249" spans="1:20" x14ac:dyDescent="0.25">
      <c r="A249" s="32">
        <f>'Daily Energy'!A249</f>
        <v>45995</v>
      </c>
      <c r="B249" s="33" t="str">
        <f>'Daily Energy'!B249</f>
        <v>Thursday</v>
      </c>
      <c r="C249" s="33" t="str">
        <f>'Daily Energy'!C249</f>
        <v>Yes</v>
      </c>
      <c r="D249" s="34">
        <f>'Daily Energy'!D249</f>
        <v>1602</v>
      </c>
      <c r="E249" s="35">
        <f>'Daily Energy'!E249</f>
        <v>22.6</v>
      </c>
      <c r="F249" s="34">
        <f>'Daily Energy'!F249</f>
        <v>10681</v>
      </c>
      <c r="G249" s="34">
        <f>'Daily Energy'!G249</f>
        <v>1418</v>
      </c>
      <c r="H249" s="34">
        <f t="shared" si="24"/>
        <v>12099</v>
      </c>
      <c r="I249" s="36">
        <f t="shared" si="25"/>
        <v>45992</v>
      </c>
      <c r="J249" s="34" t="str">
        <f t="shared" si="26"/>
        <v/>
      </c>
      <c r="K249" s="34">
        <f t="shared" si="27"/>
        <v>12099</v>
      </c>
      <c r="L249" s="33">
        <f>IF(AND(C249="No",H249&gt;'Analysis Summary'!$B$5),1,0)</f>
        <v>0</v>
      </c>
      <c r="M249" s="33" t="str">
        <f>IF(L249=1,SUM($L$2:L249),"")</f>
        <v/>
      </c>
      <c r="N249" s="33">
        <f>IF(C249="Yes",COUNTIF($C$2:C249,"Yes"),"")</f>
        <v>213</v>
      </c>
      <c r="P249" s="37">
        <v>248</v>
      </c>
      <c r="Q249" s="32">
        <f t="shared" si="28"/>
        <v>46036</v>
      </c>
      <c r="R249" s="34">
        <f t="shared" si="29"/>
        <v>1829</v>
      </c>
      <c r="S249" s="35">
        <f t="shared" si="30"/>
        <v>21.7</v>
      </c>
      <c r="T249" s="34">
        <f t="shared" si="31"/>
        <v>13323</v>
      </c>
    </row>
    <row r="250" spans="1:20" x14ac:dyDescent="0.25">
      <c r="A250" s="32">
        <f>'Daily Energy'!A250</f>
        <v>45996</v>
      </c>
      <c r="B250" s="33" t="str">
        <f>'Daily Energy'!B250</f>
        <v>Friday</v>
      </c>
      <c r="C250" s="33" t="str">
        <f>'Daily Energy'!C250</f>
        <v>Yes</v>
      </c>
      <c r="D250" s="34">
        <f>'Daily Energy'!D250</f>
        <v>1734</v>
      </c>
      <c r="E250" s="35">
        <f>'Daily Energy'!E250</f>
        <v>23.4</v>
      </c>
      <c r="F250" s="34">
        <f>'Daily Energy'!F250</f>
        <v>11730</v>
      </c>
      <c r="G250" s="34">
        <f>'Daily Energy'!G250</f>
        <v>1805</v>
      </c>
      <c r="H250" s="34">
        <f t="shared" si="24"/>
        <v>13535</v>
      </c>
      <c r="I250" s="36">
        <f t="shared" si="25"/>
        <v>45992</v>
      </c>
      <c r="J250" s="34" t="str">
        <f t="shared" si="26"/>
        <v/>
      </c>
      <c r="K250" s="34">
        <f t="shared" si="27"/>
        <v>13535</v>
      </c>
      <c r="L250" s="33">
        <f>IF(AND(C250="No",H250&gt;'Analysis Summary'!$B$5),1,0)</f>
        <v>0</v>
      </c>
      <c r="M250" s="33" t="str">
        <f>IF(L250=1,SUM($L$2:L250),"")</f>
        <v/>
      </c>
      <c r="N250" s="33">
        <f>IF(C250="Yes",COUNTIF($C$2:C250,"Yes"),"")</f>
        <v>214</v>
      </c>
      <c r="P250" s="37">
        <v>249</v>
      </c>
      <c r="Q250" s="32">
        <f t="shared" si="28"/>
        <v>46037</v>
      </c>
      <c r="R250" s="34">
        <f t="shared" si="29"/>
        <v>1584</v>
      </c>
      <c r="S250" s="35">
        <f t="shared" si="30"/>
        <v>21.7</v>
      </c>
      <c r="T250" s="34">
        <f t="shared" si="31"/>
        <v>11495</v>
      </c>
    </row>
    <row r="251" spans="1:20" x14ac:dyDescent="0.25">
      <c r="A251" s="32">
        <f>'Daily Energy'!A251</f>
        <v>45997</v>
      </c>
      <c r="B251" s="33" t="str">
        <f>'Daily Energy'!B251</f>
        <v>Saturday</v>
      </c>
      <c r="C251" s="33" t="str">
        <f>'Daily Energy'!C251</f>
        <v>Yes</v>
      </c>
      <c r="D251" s="34">
        <f>'Daily Energy'!D251</f>
        <v>1698</v>
      </c>
      <c r="E251" s="35">
        <f>'Daily Energy'!E251</f>
        <v>23</v>
      </c>
      <c r="F251" s="34">
        <f>'Daily Energy'!F251</f>
        <v>11543</v>
      </c>
      <c r="G251" s="34">
        <f>'Daily Energy'!G251</f>
        <v>1405</v>
      </c>
      <c r="H251" s="34">
        <f t="shared" si="24"/>
        <v>12948</v>
      </c>
      <c r="I251" s="36">
        <f t="shared" si="25"/>
        <v>45992</v>
      </c>
      <c r="J251" s="34" t="str">
        <f t="shared" si="26"/>
        <v/>
      </c>
      <c r="K251" s="34">
        <f t="shared" si="27"/>
        <v>12948</v>
      </c>
      <c r="L251" s="33">
        <f>IF(AND(C251="No",H251&gt;'Analysis Summary'!$B$5),1,0)</f>
        <v>0</v>
      </c>
      <c r="M251" s="33" t="str">
        <f>IF(L251=1,SUM($L$2:L251),"")</f>
        <v/>
      </c>
      <c r="N251" s="33">
        <f>IF(C251="Yes",COUNTIF($C$2:C251,"Yes"),"")</f>
        <v>215</v>
      </c>
      <c r="P251" s="37">
        <v>250</v>
      </c>
      <c r="Q251" s="32">
        <f t="shared" si="28"/>
        <v>46038</v>
      </c>
      <c r="R251" s="34">
        <f t="shared" si="29"/>
        <v>1668</v>
      </c>
      <c r="S251" s="35">
        <f t="shared" si="30"/>
        <v>20.7</v>
      </c>
      <c r="T251" s="34">
        <f t="shared" si="31"/>
        <v>13310</v>
      </c>
    </row>
    <row r="252" spans="1:20" x14ac:dyDescent="0.25">
      <c r="A252" s="32">
        <f>'Daily Energy'!A252</f>
        <v>45998</v>
      </c>
      <c r="B252" s="33" t="str">
        <f>'Daily Energy'!B252</f>
        <v>Sunday</v>
      </c>
      <c r="C252" s="33" t="str">
        <f>'Daily Energy'!C252</f>
        <v>No</v>
      </c>
      <c r="D252" s="34">
        <f>'Daily Energy'!D252</f>
        <v>0</v>
      </c>
      <c r="E252" s="35">
        <f>'Daily Energy'!E252</f>
        <v>21.1</v>
      </c>
      <c r="F252" s="34">
        <f>'Daily Energy'!F252</f>
        <v>2426</v>
      </c>
      <c r="G252" s="34">
        <f>'Daily Energy'!G252</f>
        <v>1832</v>
      </c>
      <c r="H252" s="34">
        <f t="shared" si="24"/>
        <v>4258</v>
      </c>
      <c r="I252" s="36">
        <f t="shared" si="25"/>
        <v>45992</v>
      </c>
      <c r="J252" s="34">
        <f t="shared" si="26"/>
        <v>4258</v>
      </c>
      <c r="K252" s="34" t="str">
        <f t="shared" si="27"/>
        <v/>
      </c>
      <c r="L252" s="33">
        <f>IF(AND(C252="No",H252&gt;'Analysis Summary'!$B$5),1,0)</f>
        <v>0</v>
      </c>
      <c r="M252" s="33" t="str">
        <f>IF(L252=1,SUM($L$2:L252),"")</f>
        <v/>
      </c>
      <c r="N252" s="33" t="str">
        <f>IF(C252="Yes",COUNTIF($C$2:C252,"Yes"),"")</f>
        <v/>
      </c>
      <c r="P252" s="37">
        <v>251</v>
      </c>
      <c r="Q252" s="32">
        <f t="shared" si="28"/>
        <v>46039</v>
      </c>
      <c r="R252" s="34">
        <f t="shared" si="29"/>
        <v>1435</v>
      </c>
      <c r="S252" s="35">
        <f t="shared" si="30"/>
        <v>20.3</v>
      </c>
      <c r="T252" s="34">
        <f t="shared" si="31"/>
        <v>11793</v>
      </c>
    </row>
    <row r="253" spans="1:20" x14ac:dyDescent="0.25">
      <c r="A253" s="32">
        <f>'Daily Energy'!A253</f>
        <v>45999</v>
      </c>
      <c r="B253" s="33" t="str">
        <f>'Daily Energy'!B253</f>
        <v>Monday</v>
      </c>
      <c r="C253" s="33" t="str">
        <f>'Daily Energy'!C253</f>
        <v>Yes</v>
      </c>
      <c r="D253" s="34">
        <f>'Daily Energy'!D253</f>
        <v>1968</v>
      </c>
      <c r="E253" s="35">
        <f>'Daily Energy'!E253</f>
        <v>23.5</v>
      </c>
      <c r="F253" s="34">
        <f>'Daily Energy'!F253</f>
        <v>13043</v>
      </c>
      <c r="G253" s="34">
        <f>'Daily Energy'!G253</f>
        <v>1625</v>
      </c>
      <c r="H253" s="34">
        <f t="shared" si="24"/>
        <v>14668</v>
      </c>
      <c r="I253" s="36">
        <f t="shared" si="25"/>
        <v>45992</v>
      </c>
      <c r="J253" s="34" t="str">
        <f t="shared" si="26"/>
        <v/>
      </c>
      <c r="K253" s="34">
        <f t="shared" si="27"/>
        <v>14668</v>
      </c>
      <c r="L253" s="33">
        <f>IF(AND(C253="No",H253&gt;'Analysis Summary'!$B$5),1,0)</f>
        <v>0</v>
      </c>
      <c r="M253" s="33" t="str">
        <f>IF(L253=1,SUM($L$2:L253),"")</f>
        <v/>
      </c>
      <c r="N253" s="33">
        <f>IF(C253="Yes",COUNTIF($C$2:C253,"Yes"),"")</f>
        <v>216</v>
      </c>
      <c r="P253" s="37">
        <v>252</v>
      </c>
      <c r="Q253" s="32">
        <f t="shared" si="28"/>
        <v>46041</v>
      </c>
      <c r="R253" s="34">
        <f t="shared" si="29"/>
        <v>1835</v>
      </c>
      <c r="S253" s="35">
        <f t="shared" si="30"/>
        <v>21</v>
      </c>
      <c r="T253" s="34">
        <f t="shared" si="31"/>
        <v>13106</v>
      </c>
    </row>
    <row r="254" spans="1:20" x14ac:dyDescent="0.25">
      <c r="A254" s="32">
        <f>'Daily Energy'!A254</f>
        <v>46000</v>
      </c>
      <c r="B254" s="33" t="str">
        <f>'Daily Energy'!B254</f>
        <v>Tuesday</v>
      </c>
      <c r="C254" s="33" t="str">
        <f>'Daily Energy'!C254</f>
        <v>Yes</v>
      </c>
      <c r="D254" s="34">
        <f>'Daily Energy'!D254</f>
        <v>1859</v>
      </c>
      <c r="E254" s="35">
        <f>'Daily Energy'!E254</f>
        <v>22.1</v>
      </c>
      <c r="F254" s="34">
        <f>'Daily Energy'!F254</f>
        <v>11974</v>
      </c>
      <c r="G254" s="34">
        <f>'Daily Energy'!G254</f>
        <v>1404</v>
      </c>
      <c r="H254" s="34">
        <f t="shared" si="24"/>
        <v>13378</v>
      </c>
      <c r="I254" s="36">
        <f t="shared" si="25"/>
        <v>45992</v>
      </c>
      <c r="J254" s="34" t="str">
        <f t="shared" si="26"/>
        <v/>
      </c>
      <c r="K254" s="34">
        <f t="shared" si="27"/>
        <v>13378</v>
      </c>
      <c r="L254" s="33">
        <f>IF(AND(C254="No",H254&gt;'Analysis Summary'!$B$5),1,0)</f>
        <v>0</v>
      </c>
      <c r="M254" s="33" t="str">
        <f>IF(L254=1,SUM($L$2:L254),"")</f>
        <v/>
      </c>
      <c r="N254" s="33">
        <f>IF(C254="Yes",COUNTIF($C$2:C254,"Yes"),"")</f>
        <v>217</v>
      </c>
      <c r="P254" s="37">
        <v>253</v>
      </c>
      <c r="Q254" s="32">
        <f t="shared" si="28"/>
        <v>46042</v>
      </c>
      <c r="R254" s="34">
        <f t="shared" si="29"/>
        <v>1639</v>
      </c>
      <c r="S254" s="35">
        <f t="shared" si="30"/>
        <v>20</v>
      </c>
      <c r="T254" s="34">
        <f t="shared" si="31"/>
        <v>12222</v>
      </c>
    </row>
    <row r="255" spans="1:20" x14ac:dyDescent="0.25">
      <c r="A255" s="32">
        <f>'Daily Energy'!A255</f>
        <v>46001</v>
      </c>
      <c r="B255" s="33" t="str">
        <f>'Daily Energy'!B255</f>
        <v>Wednesday</v>
      </c>
      <c r="C255" s="33" t="str">
        <f>'Daily Energy'!C255</f>
        <v>Yes</v>
      </c>
      <c r="D255" s="34">
        <f>'Daily Energy'!D255</f>
        <v>1781</v>
      </c>
      <c r="E255" s="35">
        <f>'Daily Energy'!E255</f>
        <v>22.1</v>
      </c>
      <c r="F255" s="34">
        <f>'Daily Energy'!F255</f>
        <v>12258</v>
      </c>
      <c r="G255" s="34">
        <f>'Daily Energy'!G255</f>
        <v>1506</v>
      </c>
      <c r="H255" s="34">
        <f t="shared" si="24"/>
        <v>13764</v>
      </c>
      <c r="I255" s="36">
        <f t="shared" si="25"/>
        <v>45992</v>
      </c>
      <c r="J255" s="34" t="str">
        <f t="shared" si="26"/>
        <v/>
      </c>
      <c r="K255" s="34">
        <f t="shared" si="27"/>
        <v>13764</v>
      </c>
      <c r="L255" s="33">
        <f>IF(AND(C255="No",H255&gt;'Analysis Summary'!$B$5),1,0)</f>
        <v>0</v>
      </c>
      <c r="M255" s="33" t="str">
        <f>IF(L255=1,SUM($L$2:L255),"")</f>
        <v/>
      </c>
      <c r="N255" s="33">
        <f>IF(C255="Yes",COUNTIF($C$2:C255,"Yes"),"")</f>
        <v>218</v>
      </c>
      <c r="P255" s="37">
        <v>254</v>
      </c>
      <c r="Q255" s="32">
        <f t="shared" si="28"/>
        <v>46043</v>
      </c>
      <c r="R255" s="34">
        <f t="shared" si="29"/>
        <v>1763</v>
      </c>
      <c r="S255" s="35">
        <f t="shared" si="30"/>
        <v>23.4</v>
      </c>
      <c r="T255" s="34">
        <f t="shared" si="31"/>
        <v>13059</v>
      </c>
    </row>
    <row r="256" spans="1:20" x14ac:dyDescent="0.25">
      <c r="A256" s="32">
        <f>'Daily Energy'!A256</f>
        <v>46002</v>
      </c>
      <c r="B256" s="33" t="str">
        <f>'Daily Energy'!B256</f>
        <v>Thursday</v>
      </c>
      <c r="C256" s="33" t="str">
        <f>'Daily Energy'!C256</f>
        <v>Yes</v>
      </c>
      <c r="D256" s="34">
        <f>'Daily Energy'!D256</f>
        <v>1971</v>
      </c>
      <c r="E256" s="35">
        <f>'Daily Energy'!E256</f>
        <v>25.1</v>
      </c>
      <c r="F256" s="34">
        <f>'Daily Energy'!F256</f>
        <v>12898</v>
      </c>
      <c r="G256" s="34">
        <f>'Daily Energy'!G256</f>
        <v>1516</v>
      </c>
      <c r="H256" s="34">
        <f t="shared" si="24"/>
        <v>14414</v>
      </c>
      <c r="I256" s="36">
        <f t="shared" si="25"/>
        <v>45992</v>
      </c>
      <c r="J256" s="34" t="str">
        <f t="shared" si="26"/>
        <v/>
      </c>
      <c r="K256" s="34">
        <f t="shared" si="27"/>
        <v>14414</v>
      </c>
      <c r="L256" s="33">
        <f>IF(AND(C256="No",H256&gt;'Analysis Summary'!$B$5),1,0)</f>
        <v>0</v>
      </c>
      <c r="M256" s="33" t="str">
        <f>IF(L256=1,SUM($L$2:L256),"")</f>
        <v/>
      </c>
      <c r="N256" s="33">
        <f>IF(C256="Yes",COUNTIF($C$2:C256,"Yes"),"")</f>
        <v>219</v>
      </c>
      <c r="P256" s="37">
        <v>255</v>
      </c>
      <c r="Q256" s="32">
        <f t="shared" si="28"/>
        <v>46044</v>
      </c>
      <c r="R256" s="34">
        <f t="shared" si="29"/>
        <v>1949</v>
      </c>
      <c r="S256" s="35">
        <f t="shared" si="30"/>
        <v>22.5</v>
      </c>
      <c r="T256" s="34">
        <f t="shared" si="31"/>
        <v>14157</v>
      </c>
    </row>
    <row r="257" spans="1:20" x14ac:dyDescent="0.25">
      <c r="A257" s="32">
        <f>'Daily Energy'!A257</f>
        <v>46003</v>
      </c>
      <c r="B257" s="33" t="str">
        <f>'Daily Energy'!B257</f>
        <v>Friday</v>
      </c>
      <c r="C257" s="33" t="str">
        <f>'Daily Energy'!C257</f>
        <v>Yes</v>
      </c>
      <c r="D257" s="34">
        <f>'Daily Energy'!D257</f>
        <v>1673</v>
      </c>
      <c r="E257" s="35">
        <f>'Daily Energy'!E257</f>
        <v>23.4</v>
      </c>
      <c r="F257" s="34">
        <f>'Daily Energy'!F257</f>
        <v>11849</v>
      </c>
      <c r="G257" s="34">
        <f>'Daily Energy'!G257</f>
        <v>1577</v>
      </c>
      <c r="H257" s="34">
        <f t="shared" si="24"/>
        <v>13426</v>
      </c>
      <c r="I257" s="36">
        <f t="shared" si="25"/>
        <v>45992</v>
      </c>
      <c r="J257" s="34" t="str">
        <f t="shared" si="26"/>
        <v/>
      </c>
      <c r="K257" s="34">
        <f t="shared" si="27"/>
        <v>13426</v>
      </c>
      <c r="L257" s="33">
        <f>IF(AND(C257="No",H257&gt;'Analysis Summary'!$B$5),1,0)</f>
        <v>0</v>
      </c>
      <c r="M257" s="33" t="str">
        <f>IF(L257=1,SUM($L$2:L257),"")</f>
        <v/>
      </c>
      <c r="N257" s="33">
        <f>IF(C257="Yes",COUNTIF($C$2:C257,"Yes"),"")</f>
        <v>220</v>
      </c>
      <c r="P257" s="37">
        <v>256</v>
      </c>
      <c r="Q257" s="32">
        <f t="shared" si="28"/>
        <v>46045</v>
      </c>
      <c r="R257" s="34">
        <f t="shared" si="29"/>
        <v>1836</v>
      </c>
      <c r="S257" s="35">
        <f t="shared" si="30"/>
        <v>19.399999999999999</v>
      </c>
      <c r="T257" s="34">
        <f t="shared" si="31"/>
        <v>13021</v>
      </c>
    </row>
    <row r="258" spans="1:20" x14ac:dyDescent="0.25">
      <c r="A258" s="32">
        <f>'Daily Energy'!A258</f>
        <v>46004</v>
      </c>
      <c r="B258" s="33" t="str">
        <f>'Daily Energy'!B258</f>
        <v>Saturday</v>
      </c>
      <c r="C258" s="33" t="str">
        <f>'Daily Energy'!C258</f>
        <v>Yes</v>
      </c>
      <c r="D258" s="34">
        <f>'Daily Energy'!D258</f>
        <v>1803</v>
      </c>
      <c r="E258" s="35">
        <f>'Daily Energy'!E258</f>
        <v>22.1</v>
      </c>
      <c r="F258" s="34">
        <f>'Daily Energy'!F258</f>
        <v>11604</v>
      </c>
      <c r="G258" s="34">
        <f>'Daily Energy'!G258</f>
        <v>1698</v>
      </c>
      <c r="H258" s="34">
        <f t="shared" ref="H258:H321" si="32">F258+G258</f>
        <v>13302</v>
      </c>
      <c r="I258" s="36">
        <f t="shared" ref="I258:I321" si="33">DATE(YEAR(A258),MONTH(A258),1)</f>
        <v>45992</v>
      </c>
      <c r="J258" s="34" t="str">
        <f t="shared" ref="J258:J321" si="34">IF(C258="No",H258,"")</f>
        <v/>
      </c>
      <c r="K258" s="34">
        <f t="shared" ref="K258:K321" si="35">IF(C258="Yes",H258,"")</f>
        <v>13302</v>
      </c>
      <c r="L258" s="33">
        <f>IF(AND(C258="No",H258&gt;'Analysis Summary'!$B$5),1,0)</f>
        <v>0</v>
      </c>
      <c r="M258" s="33" t="str">
        <f>IF(L258=1,SUM($L$2:L258),"")</f>
        <v/>
      </c>
      <c r="N258" s="33">
        <f>IF(C258="Yes",COUNTIF($C$2:C258,"Yes"),"")</f>
        <v>221</v>
      </c>
      <c r="P258" s="37">
        <v>257</v>
      </c>
      <c r="Q258" s="32">
        <f t="shared" ref="Q258:Q314" si="36">INDEX($A$2:$A$366,MATCH($P258,$N$2:$N$366,0))</f>
        <v>46046</v>
      </c>
      <c r="R258" s="34">
        <f t="shared" ref="R258:R314" si="37">INDEX($D$2:$D$366,MATCH($P258,$N$2:$N$366,0))</f>
        <v>1781</v>
      </c>
      <c r="S258" s="35">
        <f t="shared" ref="S258:S314" si="38">INDEX($E$2:$E$366,MATCH($P258,$N$2:$N$366,0))</f>
        <v>18.100000000000001</v>
      </c>
      <c r="T258" s="34">
        <f t="shared" ref="T258:T314" si="39">INDEX($H$2:$H$366,MATCH($P258,$N$2:$N$366,0))</f>
        <v>13241</v>
      </c>
    </row>
    <row r="259" spans="1:20" x14ac:dyDescent="0.25">
      <c r="A259" s="32">
        <f>'Daily Energy'!A259</f>
        <v>46005</v>
      </c>
      <c r="B259" s="33" t="str">
        <f>'Daily Energy'!B259</f>
        <v>Sunday</v>
      </c>
      <c r="C259" s="33" t="str">
        <f>'Daily Energy'!C259</f>
        <v>No</v>
      </c>
      <c r="D259" s="34">
        <f>'Daily Energy'!D259</f>
        <v>0</v>
      </c>
      <c r="E259" s="35">
        <f>'Daily Energy'!E259</f>
        <v>22.1</v>
      </c>
      <c r="F259" s="34">
        <f>'Daily Energy'!F259</f>
        <v>2502</v>
      </c>
      <c r="G259" s="34">
        <f>'Daily Energy'!G259</f>
        <v>1980</v>
      </c>
      <c r="H259" s="34">
        <f t="shared" si="32"/>
        <v>4482</v>
      </c>
      <c r="I259" s="36">
        <f t="shared" si="33"/>
        <v>45992</v>
      </c>
      <c r="J259" s="34">
        <f t="shared" si="34"/>
        <v>4482</v>
      </c>
      <c r="K259" s="34" t="str">
        <f t="shared" si="35"/>
        <v/>
      </c>
      <c r="L259" s="33">
        <f>IF(AND(C259="No",H259&gt;'Analysis Summary'!$B$5),1,0)</f>
        <v>0</v>
      </c>
      <c r="M259" s="33" t="str">
        <f>IF(L259=1,SUM($L$2:L259),"")</f>
        <v/>
      </c>
      <c r="N259" s="33" t="str">
        <f>IF(C259="Yes",COUNTIF($C$2:C259,"Yes"),"")</f>
        <v/>
      </c>
      <c r="P259" s="37">
        <v>258</v>
      </c>
      <c r="Q259" s="32">
        <f t="shared" si="36"/>
        <v>46048</v>
      </c>
      <c r="R259" s="34">
        <f t="shared" si="37"/>
        <v>1739</v>
      </c>
      <c r="S259" s="35">
        <f t="shared" si="38"/>
        <v>21.3</v>
      </c>
      <c r="T259" s="34">
        <f t="shared" si="39"/>
        <v>12629</v>
      </c>
    </row>
    <row r="260" spans="1:20" x14ac:dyDescent="0.25">
      <c r="A260" s="32">
        <f>'Daily Energy'!A260</f>
        <v>46006</v>
      </c>
      <c r="B260" s="33" t="str">
        <f>'Daily Energy'!B260</f>
        <v>Monday</v>
      </c>
      <c r="C260" s="33" t="str">
        <f>'Daily Energy'!C260</f>
        <v>Yes</v>
      </c>
      <c r="D260" s="34">
        <f>'Daily Energy'!D260</f>
        <v>2125</v>
      </c>
      <c r="E260" s="35">
        <f>'Daily Energy'!E260</f>
        <v>21.6</v>
      </c>
      <c r="F260" s="34">
        <f>'Daily Energy'!F260</f>
        <v>13637</v>
      </c>
      <c r="G260" s="34">
        <f>'Daily Energy'!G260</f>
        <v>1670</v>
      </c>
      <c r="H260" s="34">
        <f t="shared" si="32"/>
        <v>15307</v>
      </c>
      <c r="I260" s="36">
        <f t="shared" si="33"/>
        <v>45992</v>
      </c>
      <c r="J260" s="34" t="str">
        <f t="shared" si="34"/>
        <v/>
      </c>
      <c r="K260" s="34">
        <f t="shared" si="35"/>
        <v>15307</v>
      </c>
      <c r="L260" s="33">
        <f>IF(AND(C260="No",H260&gt;'Analysis Summary'!$B$5),1,0)</f>
        <v>0</v>
      </c>
      <c r="M260" s="33" t="str">
        <f>IF(L260=1,SUM($L$2:L260),"")</f>
        <v/>
      </c>
      <c r="N260" s="33">
        <f>IF(C260="Yes",COUNTIF($C$2:C260,"Yes"),"")</f>
        <v>222</v>
      </c>
      <c r="P260" s="37">
        <v>259</v>
      </c>
      <c r="Q260" s="32">
        <f t="shared" si="36"/>
        <v>46049</v>
      </c>
      <c r="R260" s="34">
        <f t="shared" si="37"/>
        <v>1811</v>
      </c>
      <c r="S260" s="35">
        <f t="shared" si="38"/>
        <v>18.5</v>
      </c>
      <c r="T260" s="34">
        <f t="shared" si="39"/>
        <v>14021</v>
      </c>
    </row>
    <row r="261" spans="1:20" x14ac:dyDescent="0.25">
      <c r="A261" s="32">
        <f>'Daily Energy'!A261</f>
        <v>46007</v>
      </c>
      <c r="B261" s="33" t="str">
        <f>'Daily Energy'!B261</f>
        <v>Tuesday</v>
      </c>
      <c r="C261" s="33" t="str">
        <f>'Daily Energy'!C261</f>
        <v>Yes</v>
      </c>
      <c r="D261" s="34">
        <f>'Daily Energy'!D261</f>
        <v>1865</v>
      </c>
      <c r="E261" s="35">
        <f>'Daily Energy'!E261</f>
        <v>20.5</v>
      </c>
      <c r="F261" s="34">
        <f>'Daily Energy'!F261</f>
        <v>12298</v>
      </c>
      <c r="G261" s="34">
        <f>'Daily Energy'!G261</f>
        <v>1562</v>
      </c>
      <c r="H261" s="34">
        <f t="shared" si="32"/>
        <v>13860</v>
      </c>
      <c r="I261" s="36">
        <f t="shared" si="33"/>
        <v>45992</v>
      </c>
      <c r="J261" s="34" t="str">
        <f t="shared" si="34"/>
        <v/>
      </c>
      <c r="K261" s="34">
        <f t="shared" si="35"/>
        <v>13860</v>
      </c>
      <c r="L261" s="33">
        <f>IF(AND(C261="No",H261&gt;'Analysis Summary'!$B$5),1,0)</f>
        <v>0</v>
      </c>
      <c r="M261" s="33" t="str">
        <f>IF(L261=1,SUM($L$2:L261),"")</f>
        <v/>
      </c>
      <c r="N261" s="33">
        <f>IF(C261="Yes",COUNTIF($C$2:C261,"Yes"),"")</f>
        <v>223</v>
      </c>
      <c r="P261" s="37">
        <v>260</v>
      </c>
      <c r="Q261" s="32">
        <f t="shared" si="36"/>
        <v>46050</v>
      </c>
      <c r="R261" s="34">
        <f t="shared" si="37"/>
        <v>1805</v>
      </c>
      <c r="S261" s="35">
        <f t="shared" si="38"/>
        <v>18.8</v>
      </c>
      <c r="T261" s="34">
        <f t="shared" si="39"/>
        <v>13622</v>
      </c>
    </row>
    <row r="262" spans="1:20" x14ac:dyDescent="0.25">
      <c r="A262" s="32">
        <f>'Daily Energy'!A262</f>
        <v>46008</v>
      </c>
      <c r="B262" s="33" t="str">
        <f>'Daily Energy'!B262</f>
        <v>Wednesday</v>
      </c>
      <c r="C262" s="33" t="str">
        <f>'Daily Energy'!C262</f>
        <v>Yes</v>
      </c>
      <c r="D262" s="34">
        <f>'Daily Energy'!D262</f>
        <v>1597</v>
      </c>
      <c r="E262" s="35">
        <f>'Daily Energy'!E262</f>
        <v>21.9</v>
      </c>
      <c r="F262" s="34">
        <f>'Daily Energy'!F262</f>
        <v>10610</v>
      </c>
      <c r="G262" s="34">
        <f>'Daily Energy'!G262</f>
        <v>1362</v>
      </c>
      <c r="H262" s="34">
        <f t="shared" si="32"/>
        <v>11972</v>
      </c>
      <c r="I262" s="36">
        <f t="shared" si="33"/>
        <v>45992</v>
      </c>
      <c r="J262" s="34" t="str">
        <f t="shared" si="34"/>
        <v/>
      </c>
      <c r="K262" s="34">
        <f t="shared" si="35"/>
        <v>11972</v>
      </c>
      <c r="L262" s="33">
        <f>IF(AND(C262="No",H262&gt;'Analysis Summary'!$B$5),1,0)</f>
        <v>0</v>
      </c>
      <c r="M262" s="33" t="str">
        <f>IF(L262=1,SUM($L$2:L262),"")</f>
        <v/>
      </c>
      <c r="N262" s="33">
        <f>IF(C262="Yes",COUNTIF($C$2:C262,"Yes"),"")</f>
        <v>224</v>
      </c>
      <c r="P262" s="37">
        <v>261</v>
      </c>
      <c r="Q262" s="32">
        <f t="shared" si="36"/>
        <v>46051</v>
      </c>
      <c r="R262" s="34">
        <f t="shared" si="37"/>
        <v>1876</v>
      </c>
      <c r="S262" s="35">
        <f t="shared" si="38"/>
        <v>19.899999999999999</v>
      </c>
      <c r="T262" s="34">
        <f t="shared" si="39"/>
        <v>14142</v>
      </c>
    </row>
    <row r="263" spans="1:20" x14ac:dyDescent="0.25">
      <c r="A263" s="32">
        <f>'Daily Energy'!A263</f>
        <v>46009</v>
      </c>
      <c r="B263" s="33" t="str">
        <f>'Daily Energy'!B263</f>
        <v>Thursday</v>
      </c>
      <c r="C263" s="33" t="str">
        <f>'Daily Energy'!C263</f>
        <v>Yes</v>
      </c>
      <c r="D263" s="34">
        <f>'Daily Energy'!D263</f>
        <v>1929</v>
      </c>
      <c r="E263" s="35">
        <f>'Daily Energy'!E263</f>
        <v>23.9</v>
      </c>
      <c r="F263" s="34">
        <f>'Daily Energy'!F263</f>
        <v>12345</v>
      </c>
      <c r="G263" s="34">
        <f>'Daily Energy'!G263</f>
        <v>1478</v>
      </c>
      <c r="H263" s="34">
        <f t="shared" si="32"/>
        <v>13823</v>
      </c>
      <c r="I263" s="36">
        <f t="shared" si="33"/>
        <v>45992</v>
      </c>
      <c r="J263" s="34" t="str">
        <f t="shared" si="34"/>
        <v/>
      </c>
      <c r="K263" s="34">
        <f t="shared" si="35"/>
        <v>13823</v>
      </c>
      <c r="L263" s="33">
        <f>IF(AND(C263="No",H263&gt;'Analysis Summary'!$B$5),1,0)</f>
        <v>0</v>
      </c>
      <c r="M263" s="33" t="str">
        <f>IF(L263=1,SUM($L$2:L263),"")</f>
        <v/>
      </c>
      <c r="N263" s="33">
        <f>IF(C263="Yes",COUNTIF($C$2:C263,"Yes"),"")</f>
        <v>225</v>
      </c>
      <c r="P263" s="37">
        <v>262</v>
      </c>
      <c r="Q263" s="32">
        <f t="shared" si="36"/>
        <v>46052</v>
      </c>
      <c r="R263" s="34">
        <f t="shared" si="37"/>
        <v>1742</v>
      </c>
      <c r="S263" s="35">
        <f t="shared" si="38"/>
        <v>22.4</v>
      </c>
      <c r="T263" s="34">
        <f t="shared" si="39"/>
        <v>13177</v>
      </c>
    </row>
    <row r="264" spans="1:20" x14ac:dyDescent="0.25">
      <c r="A264" s="32">
        <f>'Daily Energy'!A264</f>
        <v>46010</v>
      </c>
      <c r="B264" s="33" t="str">
        <f>'Daily Energy'!B264</f>
        <v>Friday</v>
      </c>
      <c r="C264" s="33" t="str">
        <f>'Daily Energy'!C264</f>
        <v>Yes</v>
      </c>
      <c r="D264" s="34">
        <f>'Daily Energy'!D264</f>
        <v>1492</v>
      </c>
      <c r="E264" s="35">
        <f>'Daily Energy'!E264</f>
        <v>21.7</v>
      </c>
      <c r="F264" s="34">
        <f>'Daily Energy'!F264</f>
        <v>9880</v>
      </c>
      <c r="G264" s="34">
        <f>'Daily Energy'!G264</f>
        <v>1667</v>
      </c>
      <c r="H264" s="34">
        <f t="shared" si="32"/>
        <v>11547</v>
      </c>
      <c r="I264" s="36">
        <f t="shared" si="33"/>
        <v>45992</v>
      </c>
      <c r="J264" s="34" t="str">
        <f t="shared" si="34"/>
        <v/>
      </c>
      <c r="K264" s="34">
        <f t="shared" si="35"/>
        <v>11547</v>
      </c>
      <c r="L264" s="33">
        <f>IF(AND(C264="No",H264&gt;'Analysis Summary'!$B$5),1,0)</f>
        <v>0</v>
      </c>
      <c r="M264" s="33" t="str">
        <f>IF(L264=1,SUM($L$2:L264),"")</f>
        <v/>
      </c>
      <c r="N264" s="33">
        <f>IF(C264="Yes",COUNTIF($C$2:C264,"Yes"),"")</f>
        <v>226</v>
      </c>
      <c r="P264" s="37">
        <v>263</v>
      </c>
      <c r="Q264" s="32">
        <f t="shared" si="36"/>
        <v>46053</v>
      </c>
      <c r="R264" s="34">
        <f t="shared" si="37"/>
        <v>1495</v>
      </c>
      <c r="S264" s="35">
        <f t="shared" si="38"/>
        <v>21.4</v>
      </c>
      <c r="T264" s="34">
        <f t="shared" si="39"/>
        <v>11177</v>
      </c>
    </row>
    <row r="265" spans="1:20" x14ac:dyDescent="0.25">
      <c r="A265" s="32">
        <f>'Daily Energy'!A265</f>
        <v>46011</v>
      </c>
      <c r="B265" s="33" t="str">
        <f>'Daily Energy'!B265</f>
        <v>Saturday</v>
      </c>
      <c r="C265" s="33" t="str">
        <f>'Daily Energy'!C265</f>
        <v>Yes</v>
      </c>
      <c r="D265" s="34">
        <f>'Daily Energy'!D265</f>
        <v>1755</v>
      </c>
      <c r="E265" s="35">
        <f>'Daily Energy'!E265</f>
        <v>22.3</v>
      </c>
      <c r="F265" s="34">
        <f>'Daily Energy'!F265</f>
        <v>11773</v>
      </c>
      <c r="G265" s="34">
        <f>'Daily Energy'!G265</f>
        <v>1068</v>
      </c>
      <c r="H265" s="34">
        <f t="shared" si="32"/>
        <v>12841</v>
      </c>
      <c r="I265" s="36">
        <f t="shared" si="33"/>
        <v>45992</v>
      </c>
      <c r="J265" s="34" t="str">
        <f t="shared" si="34"/>
        <v/>
      </c>
      <c r="K265" s="34">
        <f t="shared" si="35"/>
        <v>12841</v>
      </c>
      <c r="L265" s="33">
        <f>IF(AND(C265="No",H265&gt;'Analysis Summary'!$B$5),1,0)</f>
        <v>0</v>
      </c>
      <c r="M265" s="33" t="str">
        <f>IF(L265=1,SUM($L$2:L265),"")</f>
        <v/>
      </c>
      <c r="N265" s="33">
        <f>IF(C265="Yes",COUNTIF($C$2:C265,"Yes"),"")</f>
        <v>227</v>
      </c>
      <c r="P265" s="37">
        <v>264</v>
      </c>
      <c r="Q265" s="32">
        <f t="shared" si="36"/>
        <v>46055</v>
      </c>
      <c r="R265" s="34">
        <f t="shared" si="37"/>
        <v>1802</v>
      </c>
      <c r="S265" s="35">
        <f t="shared" si="38"/>
        <v>20.7</v>
      </c>
      <c r="T265" s="34">
        <f t="shared" si="39"/>
        <v>13426</v>
      </c>
    </row>
    <row r="266" spans="1:20" x14ac:dyDescent="0.25">
      <c r="A266" s="32">
        <f>'Daily Energy'!A266</f>
        <v>46012</v>
      </c>
      <c r="B266" s="33" t="str">
        <f>'Daily Energy'!B266</f>
        <v>Sunday</v>
      </c>
      <c r="C266" s="33" t="str">
        <f>'Daily Energy'!C266</f>
        <v>No</v>
      </c>
      <c r="D266" s="34">
        <f>'Daily Energy'!D266</f>
        <v>0</v>
      </c>
      <c r="E266" s="35">
        <f>'Daily Energy'!E266</f>
        <v>19.899999999999999</v>
      </c>
      <c r="F266" s="34">
        <f>'Daily Energy'!F266</f>
        <v>2420</v>
      </c>
      <c r="G266" s="34">
        <f>'Daily Energy'!G266</f>
        <v>1551</v>
      </c>
      <c r="H266" s="34">
        <f t="shared" si="32"/>
        <v>3971</v>
      </c>
      <c r="I266" s="36">
        <f t="shared" si="33"/>
        <v>45992</v>
      </c>
      <c r="J266" s="34">
        <f t="shared" si="34"/>
        <v>3971</v>
      </c>
      <c r="K266" s="34" t="str">
        <f t="shared" si="35"/>
        <v/>
      </c>
      <c r="L266" s="33">
        <f>IF(AND(C266="No",H266&gt;'Analysis Summary'!$B$5),1,0)</f>
        <v>0</v>
      </c>
      <c r="M266" s="33" t="str">
        <f>IF(L266=1,SUM($L$2:L266),"")</f>
        <v/>
      </c>
      <c r="N266" s="33" t="str">
        <f>IF(C266="Yes",COUNTIF($C$2:C266,"Yes"),"")</f>
        <v/>
      </c>
      <c r="P266" s="37">
        <v>265</v>
      </c>
      <c r="Q266" s="32">
        <f t="shared" si="36"/>
        <v>46056</v>
      </c>
      <c r="R266" s="34">
        <f t="shared" si="37"/>
        <v>1539</v>
      </c>
      <c r="S266" s="35">
        <f t="shared" si="38"/>
        <v>19.7</v>
      </c>
      <c r="T266" s="34">
        <f t="shared" si="39"/>
        <v>11290</v>
      </c>
    </row>
    <row r="267" spans="1:20" x14ac:dyDescent="0.25">
      <c r="A267" s="32">
        <f>'Daily Energy'!A267</f>
        <v>46013</v>
      </c>
      <c r="B267" s="33" t="str">
        <f>'Daily Energy'!B267</f>
        <v>Monday</v>
      </c>
      <c r="C267" s="33" t="str">
        <f>'Daily Energy'!C267</f>
        <v>Yes</v>
      </c>
      <c r="D267" s="34">
        <f>'Daily Energy'!D267</f>
        <v>1607</v>
      </c>
      <c r="E267" s="35">
        <f>'Daily Energy'!E267</f>
        <v>22.8</v>
      </c>
      <c r="F267" s="34">
        <f>'Daily Energy'!F267</f>
        <v>10786</v>
      </c>
      <c r="G267" s="34">
        <f>'Daily Energy'!G267</f>
        <v>1455</v>
      </c>
      <c r="H267" s="34">
        <f t="shared" si="32"/>
        <v>12241</v>
      </c>
      <c r="I267" s="36">
        <f t="shared" si="33"/>
        <v>45992</v>
      </c>
      <c r="J267" s="34" t="str">
        <f t="shared" si="34"/>
        <v/>
      </c>
      <c r="K267" s="34">
        <f t="shared" si="35"/>
        <v>12241</v>
      </c>
      <c r="L267" s="33">
        <f>IF(AND(C267="No",H267&gt;'Analysis Summary'!$B$5),1,0)</f>
        <v>0</v>
      </c>
      <c r="M267" s="33" t="str">
        <f>IF(L267=1,SUM($L$2:L267),"")</f>
        <v/>
      </c>
      <c r="N267" s="33">
        <f>IF(C267="Yes",COUNTIF($C$2:C267,"Yes"),"")</f>
        <v>228</v>
      </c>
      <c r="P267" s="37">
        <v>266</v>
      </c>
      <c r="Q267" s="32">
        <f t="shared" si="36"/>
        <v>46057</v>
      </c>
      <c r="R267" s="34">
        <f t="shared" si="37"/>
        <v>1631</v>
      </c>
      <c r="S267" s="35">
        <f t="shared" si="38"/>
        <v>22.2</v>
      </c>
      <c r="T267" s="34">
        <f t="shared" si="39"/>
        <v>12888</v>
      </c>
    </row>
    <row r="268" spans="1:20" x14ac:dyDescent="0.25">
      <c r="A268" s="32">
        <f>'Daily Energy'!A268</f>
        <v>46014</v>
      </c>
      <c r="B268" s="33" t="str">
        <f>'Daily Energy'!B268</f>
        <v>Tuesday</v>
      </c>
      <c r="C268" s="33" t="str">
        <f>'Daily Energy'!C268</f>
        <v>Yes</v>
      </c>
      <c r="D268" s="34">
        <f>'Daily Energy'!D268</f>
        <v>1713</v>
      </c>
      <c r="E268" s="35">
        <f>'Daily Energy'!E268</f>
        <v>21</v>
      </c>
      <c r="F268" s="34">
        <f>'Daily Energy'!F268</f>
        <v>11939</v>
      </c>
      <c r="G268" s="34">
        <f>'Daily Energy'!G268</f>
        <v>1605</v>
      </c>
      <c r="H268" s="34">
        <f t="shared" si="32"/>
        <v>13544</v>
      </c>
      <c r="I268" s="36">
        <f t="shared" si="33"/>
        <v>45992</v>
      </c>
      <c r="J268" s="34" t="str">
        <f t="shared" si="34"/>
        <v/>
      </c>
      <c r="K268" s="34">
        <f t="shared" si="35"/>
        <v>13544</v>
      </c>
      <c r="L268" s="33">
        <f>IF(AND(C268="No",H268&gt;'Analysis Summary'!$B$5),1,0)</f>
        <v>0</v>
      </c>
      <c r="M268" s="33" t="str">
        <f>IF(L268=1,SUM($L$2:L268),"")</f>
        <v/>
      </c>
      <c r="N268" s="33">
        <f>IF(C268="Yes",COUNTIF($C$2:C268,"Yes"),"")</f>
        <v>229</v>
      </c>
      <c r="P268" s="37">
        <v>267</v>
      </c>
      <c r="Q268" s="32">
        <f t="shared" si="36"/>
        <v>46058</v>
      </c>
      <c r="R268" s="34">
        <f t="shared" si="37"/>
        <v>1887</v>
      </c>
      <c r="S268" s="35">
        <f t="shared" si="38"/>
        <v>19.100000000000001</v>
      </c>
      <c r="T268" s="34">
        <f t="shared" si="39"/>
        <v>13878</v>
      </c>
    </row>
    <row r="269" spans="1:20" x14ac:dyDescent="0.25">
      <c r="A269" s="32">
        <f>'Daily Energy'!A269</f>
        <v>46015</v>
      </c>
      <c r="B269" s="33" t="str">
        <f>'Daily Energy'!B269</f>
        <v>Wednesday</v>
      </c>
      <c r="C269" s="33" t="str">
        <f>'Daily Energy'!C269</f>
        <v>Yes</v>
      </c>
      <c r="D269" s="34">
        <f>'Daily Energy'!D269</f>
        <v>1833</v>
      </c>
      <c r="E269" s="35">
        <f>'Daily Energy'!E269</f>
        <v>24.4</v>
      </c>
      <c r="F269" s="34">
        <f>'Daily Energy'!F269</f>
        <v>12310</v>
      </c>
      <c r="G269" s="34">
        <f>'Daily Energy'!G269</f>
        <v>1380</v>
      </c>
      <c r="H269" s="34">
        <f t="shared" si="32"/>
        <v>13690</v>
      </c>
      <c r="I269" s="36">
        <f t="shared" si="33"/>
        <v>45992</v>
      </c>
      <c r="J269" s="34" t="str">
        <f t="shared" si="34"/>
        <v/>
      </c>
      <c r="K269" s="34">
        <f t="shared" si="35"/>
        <v>13690</v>
      </c>
      <c r="L269" s="33">
        <f>IF(AND(C269="No",H269&gt;'Analysis Summary'!$B$5),1,0)</f>
        <v>0</v>
      </c>
      <c r="M269" s="33" t="str">
        <f>IF(L269=1,SUM($L$2:L269),"")</f>
        <v/>
      </c>
      <c r="N269" s="33">
        <f>IF(C269="Yes",COUNTIF($C$2:C269,"Yes"),"")</f>
        <v>230</v>
      </c>
      <c r="P269" s="37">
        <v>268</v>
      </c>
      <c r="Q269" s="32">
        <f t="shared" si="36"/>
        <v>46059</v>
      </c>
      <c r="R269" s="34">
        <f t="shared" si="37"/>
        <v>1821</v>
      </c>
      <c r="S269" s="35">
        <f t="shared" si="38"/>
        <v>21.3</v>
      </c>
      <c r="T269" s="34">
        <f t="shared" si="39"/>
        <v>14323</v>
      </c>
    </row>
    <row r="270" spans="1:20" x14ac:dyDescent="0.25">
      <c r="A270" s="32">
        <f>'Daily Energy'!A270</f>
        <v>46016</v>
      </c>
      <c r="B270" s="33" t="str">
        <f>'Daily Energy'!B270</f>
        <v>Thursday</v>
      </c>
      <c r="C270" s="33" t="str">
        <f>'Daily Energy'!C270</f>
        <v>Yes</v>
      </c>
      <c r="D270" s="34">
        <f>'Daily Energy'!D270</f>
        <v>1891</v>
      </c>
      <c r="E270" s="35">
        <f>'Daily Energy'!E270</f>
        <v>20.8</v>
      </c>
      <c r="F270" s="34">
        <f>'Daily Energy'!F270</f>
        <v>12044</v>
      </c>
      <c r="G270" s="34">
        <f>'Daily Energy'!G270</f>
        <v>1469</v>
      </c>
      <c r="H270" s="34">
        <f t="shared" si="32"/>
        <v>13513</v>
      </c>
      <c r="I270" s="36">
        <f t="shared" si="33"/>
        <v>45992</v>
      </c>
      <c r="J270" s="34" t="str">
        <f t="shared" si="34"/>
        <v/>
      </c>
      <c r="K270" s="34">
        <f t="shared" si="35"/>
        <v>13513</v>
      </c>
      <c r="L270" s="33">
        <f>IF(AND(C270="No",H270&gt;'Analysis Summary'!$B$5),1,0)</f>
        <v>0</v>
      </c>
      <c r="M270" s="33" t="str">
        <f>IF(L270=1,SUM($L$2:L270),"")</f>
        <v/>
      </c>
      <c r="N270" s="33">
        <f>IF(C270="Yes",COUNTIF($C$2:C270,"Yes"),"")</f>
        <v>231</v>
      </c>
      <c r="P270" s="37">
        <v>269</v>
      </c>
      <c r="Q270" s="32">
        <f t="shared" si="36"/>
        <v>46060</v>
      </c>
      <c r="R270" s="34">
        <f t="shared" si="37"/>
        <v>1902</v>
      </c>
      <c r="S270" s="35">
        <f t="shared" si="38"/>
        <v>20.8</v>
      </c>
      <c r="T270" s="34">
        <f t="shared" si="39"/>
        <v>14009</v>
      </c>
    </row>
    <row r="271" spans="1:20" x14ac:dyDescent="0.25">
      <c r="A271" s="32">
        <f>'Daily Energy'!A271</f>
        <v>46017</v>
      </c>
      <c r="B271" s="33" t="str">
        <f>'Daily Energy'!B271</f>
        <v>Friday</v>
      </c>
      <c r="C271" s="33" t="str">
        <f>'Daily Energy'!C271</f>
        <v>Yes</v>
      </c>
      <c r="D271" s="34">
        <f>'Daily Energy'!D271</f>
        <v>1662</v>
      </c>
      <c r="E271" s="35">
        <f>'Daily Energy'!E271</f>
        <v>22.2</v>
      </c>
      <c r="F271" s="34">
        <f>'Daily Energy'!F271</f>
        <v>11300</v>
      </c>
      <c r="G271" s="34">
        <f>'Daily Energy'!G271</f>
        <v>1328</v>
      </c>
      <c r="H271" s="34">
        <f t="shared" si="32"/>
        <v>12628</v>
      </c>
      <c r="I271" s="36">
        <f t="shared" si="33"/>
        <v>45992</v>
      </c>
      <c r="J271" s="34" t="str">
        <f t="shared" si="34"/>
        <v/>
      </c>
      <c r="K271" s="34">
        <f t="shared" si="35"/>
        <v>12628</v>
      </c>
      <c r="L271" s="33">
        <f>IF(AND(C271="No",H271&gt;'Analysis Summary'!$B$5),1,0)</f>
        <v>0</v>
      </c>
      <c r="M271" s="33" t="str">
        <f>IF(L271=1,SUM($L$2:L271),"")</f>
        <v/>
      </c>
      <c r="N271" s="33">
        <f>IF(C271="Yes",COUNTIF($C$2:C271,"Yes"),"")</f>
        <v>232</v>
      </c>
      <c r="P271" s="37">
        <v>270</v>
      </c>
      <c r="Q271" s="32">
        <f t="shared" si="36"/>
        <v>46062</v>
      </c>
      <c r="R271" s="34">
        <f t="shared" si="37"/>
        <v>1892</v>
      </c>
      <c r="S271" s="35">
        <f t="shared" si="38"/>
        <v>20.7</v>
      </c>
      <c r="T271" s="34">
        <f t="shared" si="39"/>
        <v>14020</v>
      </c>
    </row>
    <row r="272" spans="1:20" x14ac:dyDescent="0.25">
      <c r="A272" s="32">
        <f>'Daily Energy'!A272</f>
        <v>46018</v>
      </c>
      <c r="B272" s="33" t="str">
        <f>'Daily Energy'!B272</f>
        <v>Saturday</v>
      </c>
      <c r="C272" s="33" t="str">
        <f>'Daily Energy'!C272</f>
        <v>Yes</v>
      </c>
      <c r="D272" s="34">
        <f>'Daily Energy'!D272</f>
        <v>1582</v>
      </c>
      <c r="E272" s="35">
        <f>'Daily Energy'!E272</f>
        <v>23.6</v>
      </c>
      <c r="F272" s="34">
        <f>'Daily Energy'!F272</f>
        <v>10650</v>
      </c>
      <c r="G272" s="34">
        <f>'Daily Energy'!G272</f>
        <v>1326</v>
      </c>
      <c r="H272" s="34">
        <f t="shared" si="32"/>
        <v>11976</v>
      </c>
      <c r="I272" s="36">
        <f t="shared" si="33"/>
        <v>45992</v>
      </c>
      <c r="J272" s="34" t="str">
        <f t="shared" si="34"/>
        <v/>
      </c>
      <c r="K272" s="34">
        <f t="shared" si="35"/>
        <v>11976</v>
      </c>
      <c r="L272" s="33">
        <f>IF(AND(C272="No",H272&gt;'Analysis Summary'!$B$5),1,0)</f>
        <v>0</v>
      </c>
      <c r="M272" s="33" t="str">
        <f>IF(L272=1,SUM($L$2:L272),"")</f>
        <v/>
      </c>
      <c r="N272" s="33">
        <f>IF(C272="Yes",COUNTIF($C$2:C272,"Yes"),"")</f>
        <v>233</v>
      </c>
      <c r="P272" s="37">
        <v>271</v>
      </c>
      <c r="Q272" s="32">
        <f t="shared" si="36"/>
        <v>46063</v>
      </c>
      <c r="R272" s="34">
        <f t="shared" si="37"/>
        <v>1772</v>
      </c>
      <c r="S272" s="35">
        <f t="shared" si="38"/>
        <v>20.399999999999999</v>
      </c>
      <c r="T272" s="34">
        <f t="shared" si="39"/>
        <v>13866</v>
      </c>
    </row>
    <row r="273" spans="1:20" x14ac:dyDescent="0.25">
      <c r="A273" s="32">
        <f>'Daily Energy'!A273</f>
        <v>46019</v>
      </c>
      <c r="B273" s="33" t="str">
        <f>'Daily Energy'!B273</f>
        <v>Sunday</v>
      </c>
      <c r="C273" s="33" t="str">
        <f>'Daily Energy'!C273</f>
        <v>No</v>
      </c>
      <c r="D273" s="34">
        <f>'Daily Energy'!D273</f>
        <v>0</v>
      </c>
      <c r="E273" s="35">
        <f>'Daily Energy'!E273</f>
        <v>22.7</v>
      </c>
      <c r="F273" s="34">
        <f>'Daily Energy'!F273</f>
        <v>2748</v>
      </c>
      <c r="G273" s="34">
        <f>'Daily Energy'!G273</f>
        <v>1809</v>
      </c>
      <c r="H273" s="34">
        <f t="shared" si="32"/>
        <v>4557</v>
      </c>
      <c r="I273" s="36">
        <f t="shared" si="33"/>
        <v>45992</v>
      </c>
      <c r="J273" s="34">
        <f t="shared" si="34"/>
        <v>4557</v>
      </c>
      <c r="K273" s="34" t="str">
        <f t="shared" si="35"/>
        <v/>
      </c>
      <c r="L273" s="33">
        <f>IF(AND(C273="No",H273&gt;'Analysis Summary'!$B$5),1,0)</f>
        <v>0</v>
      </c>
      <c r="M273" s="33" t="str">
        <f>IF(L273=1,SUM($L$2:L273),"")</f>
        <v/>
      </c>
      <c r="N273" s="33" t="str">
        <f>IF(C273="Yes",COUNTIF($C$2:C273,"Yes"),"")</f>
        <v/>
      </c>
      <c r="P273" s="37">
        <v>272</v>
      </c>
      <c r="Q273" s="32">
        <f t="shared" si="36"/>
        <v>46064</v>
      </c>
      <c r="R273" s="34">
        <f t="shared" si="37"/>
        <v>1640</v>
      </c>
      <c r="S273" s="35">
        <f t="shared" si="38"/>
        <v>18.399999999999999</v>
      </c>
      <c r="T273" s="34">
        <f t="shared" si="39"/>
        <v>12491</v>
      </c>
    </row>
    <row r="274" spans="1:20" x14ac:dyDescent="0.25">
      <c r="A274" s="32">
        <f>'Daily Energy'!A274</f>
        <v>46020</v>
      </c>
      <c r="B274" s="33" t="str">
        <f>'Daily Energy'!B274</f>
        <v>Monday</v>
      </c>
      <c r="C274" s="33" t="str">
        <f>'Daily Energy'!C274</f>
        <v>Yes</v>
      </c>
      <c r="D274" s="34">
        <f>'Daily Energy'!D274</f>
        <v>1753</v>
      </c>
      <c r="E274" s="35">
        <f>'Daily Energy'!E274</f>
        <v>19.100000000000001</v>
      </c>
      <c r="F274" s="34">
        <f>'Daily Energy'!F274</f>
        <v>11508</v>
      </c>
      <c r="G274" s="34">
        <f>'Daily Energy'!G274</f>
        <v>1452</v>
      </c>
      <c r="H274" s="34">
        <f t="shared" si="32"/>
        <v>12960</v>
      </c>
      <c r="I274" s="36">
        <f t="shared" si="33"/>
        <v>45992</v>
      </c>
      <c r="J274" s="34" t="str">
        <f t="shared" si="34"/>
        <v/>
      </c>
      <c r="K274" s="34">
        <f t="shared" si="35"/>
        <v>12960</v>
      </c>
      <c r="L274" s="33">
        <f>IF(AND(C274="No",H274&gt;'Analysis Summary'!$B$5),1,0)</f>
        <v>0</v>
      </c>
      <c r="M274" s="33" t="str">
        <f>IF(L274=1,SUM($L$2:L274),"")</f>
        <v/>
      </c>
      <c r="N274" s="33">
        <f>IF(C274="Yes",COUNTIF($C$2:C274,"Yes"),"")</f>
        <v>234</v>
      </c>
      <c r="P274" s="37">
        <v>273</v>
      </c>
      <c r="Q274" s="32">
        <f t="shared" si="36"/>
        <v>46065</v>
      </c>
      <c r="R274" s="34">
        <f t="shared" si="37"/>
        <v>1865</v>
      </c>
      <c r="S274" s="35">
        <f t="shared" si="38"/>
        <v>23.2</v>
      </c>
      <c r="T274" s="34">
        <f t="shared" si="39"/>
        <v>14125</v>
      </c>
    </row>
    <row r="275" spans="1:20" x14ac:dyDescent="0.25">
      <c r="A275" s="32">
        <f>'Daily Energy'!A275</f>
        <v>46021</v>
      </c>
      <c r="B275" s="33" t="str">
        <f>'Daily Energy'!B275</f>
        <v>Tuesday</v>
      </c>
      <c r="C275" s="33" t="str">
        <f>'Daily Energy'!C275</f>
        <v>Yes</v>
      </c>
      <c r="D275" s="34">
        <f>'Daily Energy'!D275</f>
        <v>1891</v>
      </c>
      <c r="E275" s="35">
        <f>'Daily Energy'!E275</f>
        <v>20.9</v>
      </c>
      <c r="F275" s="34">
        <f>'Daily Energy'!F275</f>
        <v>12451</v>
      </c>
      <c r="G275" s="34">
        <f>'Daily Energy'!G275</f>
        <v>1632</v>
      </c>
      <c r="H275" s="34">
        <f t="shared" si="32"/>
        <v>14083</v>
      </c>
      <c r="I275" s="36">
        <f t="shared" si="33"/>
        <v>45992</v>
      </c>
      <c r="J275" s="34" t="str">
        <f t="shared" si="34"/>
        <v/>
      </c>
      <c r="K275" s="34">
        <f t="shared" si="35"/>
        <v>14083</v>
      </c>
      <c r="L275" s="33">
        <f>IF(AND(C275="No",H275&gt;'Analysis Summary'!$B$5),1,0)</f>
        <v>0</v>
      </c>
      <c r="M275" s="33" t="str">
        <f>IF(L275=1,SUM($L$2:L275),"")</f>
        <v/>
      </c>
      <c r="N275" s="33">
        <f>IF(C275="Yes",COUNTIF($C$2:C275,"Yes"),"")</f>
        <v>235</v>
      </c>
      <c r="P275" s="37">
        <v>274</v>
      </c>
      <c r="Q275" s="32">
        <f t="shared" si="36"/>
        <v>46066</v>
      </c>
      <c r="R275" s="34">
        <f t="shared" si="37"/>
        <v>1783</v>
      </c>
      <c r="S275" s="35">
        <f t="shared" si="38"/>
        <v>20.9</v>
      </c>
      <c r="T275" s="34">
        <f t="shared" si="39"/>
        <v>13340</v>
      </c>
    </row>
    <row r="276" spans="1:20" x14ac:dyDescent="0.25">
      <c r="A276" s="32">
        <f>'Daily Energy'!A276</f>
        <v>46022</v>
      </c>
      <c r="B276" s="33" t="str">
        <f>'Daily Energy'!B276</f>
        <v>Wednesday</v>
      </c>
      <c r="C276" s="33" t="str">
        <f>'Daily Energy'!C276</f>
        <v>Yes</v>
      </c>
      <c r="D276" s="34">
        <f>'Daily Energy'!D276</f>
        <v>1922</v>
      </c>
      <c r="E276" s="35">
        <f>'Daily Energy'!E276</f>
        <v>19.100000000000001</v>
      </c>
      <c r="F276" s="34">
        <f>'Daily Energy'!F276</f>
        <v>12940</v>
      </c>
      <c r="G276" s="34">
        <f>'Daily Energy'!G276</f>
        <v>1735</v>
      </c>
      <c r="H276" s="34">
        <f t="shared" si="32"/>
        <v>14675</v>
      </c>
      <c r="I276" s="36">
        <f t="shared" si="33"/>
        <v>45992</v>
      </c>
      <c r="J276" s="34" t="str">
        <f t="shared" si="34"/>
        <v/>
      </c>
      <c r="K276" s="34">
        <f t="shared" si="35"/>
        <v>14675</v>
      </c>
      <c r="L276" s="33">
        <f>IF(AND(C276="No",H276&gt;'Analysis Summary'!$B$5),1,0)</f>
        <v>0</v>
      </c>
      <c r="M276" s="33" t="str">
        <f>IF(L276=1,SUM($L$2:L276),"")</f>
        <v/>
      </c>
      <c r="N276" s="33">
        <f>IF(C276="Yes",COUNTIF($C$2:C276,"Yes"),"")</f>
        <v>236</v>
      </c>
      <c r="P276" s="37">
        <v>275</v>
      </c>
      <c r="Q276" s="32">
        <f t="shared" si="36"/>
        <v>46067</v>
      </c>
      <c r="R276" s="34">
        <f t="shared" si="37"/>
        <v>1681</v>
      </c>
      <c r="S276" s="35">
        <f t="shared" si="38"/>
        <v>21.1</v>
      </c>
      <c r="T276" s="34">
        <f t="shared" si="39"/>
        <v>12161</v>
      </c>
    </row>
    <row r="277" spans="1:20" x14ac:dyDescent="0.25">
      <c r="A277" s="32">
        <f>'Daily Energy'!A277</f>
        <v>46023</v>
      </c>
      <c r="B277" s="33" t="str">
        <f>'Daily Energy'!B277</f>
        <v>Thursday</v>
      </c>
      <c r="C277" s="33" t="str">
        <f>'Daily Energy'!C277</f>
        <v>Yes</v>
      </c>
      <c r="D277" s="34">
        <f>'Daily Energy'!D277</f>
        <v>1902</v>
      </c>
      <c r="E277" s="35">
        <f>'Daily Energy'!E277</f>
        <v>25</v>
      </c>
      <c r="F277" s="34">
        <f>'Daily Energy'!F277</f>
        <v>12120</v>
      </c>
      <c r="G277" s="34">
        <f>'Daily Energy'!G277</f>
        <v>1600</v>
      </c>
      <c r="H277" s="34">
        <f t="shared" si="32"/>
        <v>13720</v>
      </c>
      <c r="I277" s="36">
        <f t="shared" si="33"/>
        <v>46023</v>
      </c>
      <c r="J277" s="34" t="str">
        <f t="shared" si="34"/>
        <v/>
      </c>
      <c r="K277" s="34">
        <f t="shared" si="35"/>
        <v>13720</v>
      </c>
      <c r="L277" s="33">
        <f>IF(AND(C277="No",H277&gt;'Analysis Summary'!$B$5),1,0)</f>
        <v>0</v>
      </c>
      <c r="M277" s="33" t="str">
        <f>IF(L277=1,SUM($L$2:L277),"")</f>
        <v/>
      </c>
      <c r="N277" s="33">
        <f>IF(C277="Yes",COUNTIF($C$2:C277,"Yes"),"")</f>
        <v>237</v>
      </c>
      <c r="P277" s="37">
        <v>276</v>
      </c>
      <c r="Q277" s="32">
        <f t="shared" si="36"/>
        <v>46069</v>
      </c>
      <c r="R277" s="34">
        <f t="shared" si="37"/>
        <v>1882</v>
      </c>
      <c r="S277" s="35">
        <f t="shared" si="38"/>
        <v>23.5</v>
      </c>
      <c r="T277" s="34">
        <f t="shared" si="39"/>
        <v>13558</v>
      </c>
    </row>
    <row r="278" spans="1:20" x14ac:dyDescent="0.25">
      <c r="A278" s="32">
        <f>'Daily Energy'!A278</f>
        <v>46024</v>
      </c>
      <c r="B278" s="33" t="str">
        <f>'Daily Energy'!B278</f>
        <v>Friday</v>
      </c>
      <c r="C278" s="33" t="str">
        <f>'Daily Energy'!C278</f>
        <v>Yes</v>
      </c>
      <c r="D278" s="34">
        <f>'Daily Energy'!D278</f>
        <v>1881</v>
      </c>
      <c r="E278" s="35">
        <f>'Daily Energy'!E278</f>
        <v>19.7</v>
      </c>
      <c r="F278" s="34">
        <f>'Daily Energy'!F278</f>
        <v>11795</v>
      </c>
      <c r="G278" s="34">
        <f>'Daily Energy'!G278</f>
        <v>1486</v>
      </c>
      <c r="H278" s="34">
        <f t="shared" si="32"/>
        <v>13281</v>
      </c>
      <c r="I278" s="36">
        <f t="shared" si="33"/>
        <v>46023</v>
      </c>
      <c r="J278" s="34" t="str">
        <f t="shared" si="34"/>
        <v/>
      </c>
      <c r="K278" s="34">
        <f t="shared" si="35"/>
        <v>13281</v>
      </c>
      <c r="L278" s="33">
        <f>IF(AND(C278="No",H278&gt;'Analysis Summary'!$B$5),1,0)</f>
        <v>0</v>
      </c>
      <c r="M278" s="33" t="str">
        <f>IF(L278=1,SUM($L$2:L278),"")</f>
        <v/>
      </c>
      <c r="N278" s="33">
        <f>IF(C278="Yes",COUNTIF($C$2:C278,"Yes"),"")</f>
        <v>238</v>
      </c>
      <c r="P278" s="37">
        <v>277</v>
      </c>
      <c r="Q278" s="32">
        <f t="shared" si="36"/>
        <v>46070</v>
      </c>
      <c r="R278" s="34">
        <f t="shared" si="37"/>
        <v>1941</v>
      </c>
      <c r="S278" s="35">
        <f t="shared" si="38"/>
        <v>21.8</v>
      </c>
      <c r="T278" s="34">
        <f t="shared" si="39"/>
        <v>14705</v>
      </c>
    </row>
    <row r="279" spans="1:20" x14ac:dyDescent="0.25">
      <c r="A279" s="32">
        <f>'Daily Energy'!A279</f>
        <v>46025</v>
      </c>
      <c r="B279" s="33" t="str">
        <f>'Daily Energy'!B279</f>
        <v>Saturday</v>
      </c>
      <c r="C279" s="33" t="str">
        <f>'Daily Energy'!C279</f>
        <v>Yes</v>
      </c>
      <c r="D279" s="34">
        <f>'Daily Energy'!D279</f>
        <v>1710</v>
      </c>
      <c r="E279" s="35">
        <f>'Daily Energy'!E279</f>
        <v>21.5</v>
      </c>
      <c r="F279" s="34">
        <f>'Daily Energy'!F279</f>
        <v>11134</v>
      </c>
      <c r="G279" s="34">
        <f>'Daily Energy'!G279</f>
        <v>1440</v>
      </c>
      <c r="H279" s="34">
        <f t="shared" si="32"/>
        <v>12574</v>
      </c>
      <c r="I279" s="36">
        <f t="shared" si="33"/>
        <v>46023</v>
      </c>
      <c r="J279" s="34" t="str">
        <f t="shared" si="34"/>
        <v/>
      </c>
      <c r="K279" s="34">
        <f t="shared" si="35"/>
        <v>12574</v>
      </c>
      <c r="L279" s="33">
        <f>IF(AND(C279="No",H279&gt;'Analysis Summary'!$B$5),1,0)</f>
        <v>0</v>
      </c>
      <c r="M279" s="33" t="str">
        <f>IF(L279=1,SUM($L$2:L279),"")</f>
        <v/>
      </c>
      <c r="N279" s="33">
        <f>IF(C279="Yes",COUNTIF($C$2:C279,"Yes"),"")</f>
        <v>239</v>
      </c>
      <c r="P279" s="37">
        <v>278</v>
      </c>
      <c r="Q279" s="32">
        <f t="shared" si="36"/>
        <v>46071</v>
      </c>
      <c r="R279" s="34">
        <f t="shared" si="37"/>
        <v>1899</v>
      </c>
      <c r="S279" s="35">
        <f t="shared" si="38"/>
        <v>21.2</v>
      </c>
      <c r="T279" s="34">
        <f t="shared" si="39"/>
        <v>13861</v>
      </c>
    </row>
    <row r="280" spans="1:20" x14ac:dyDescent="0.25">
      <c r="A280" s="32">
        <f>'Daily Energy'!A280</f>
        <v>46026</v>
      </c>
      <c r="B280" s="33" t="str">
        <f>'Daily Energy'!B280</f>
        <v>Sunday</v>
      </c>
      <c r="C280" s="33" t="str">
        <f>'Daily Energy'!C280</f>
        <v>No</v>
      </c>
      <c r="D280" s="34">
        <f>'Daily Energy'!D280</f>
        <v>0</v>
      </c>
      <c r="E280" s="35">
        <f>'Daily Energy'!E280</f>
        <v>20.5</v>
      </c>
      <c r="F280" s="34">
        <f>'Daily Energy'!F280</f>
        <v>2650</v>
      </c>
      <c r="G280" s="34">
        <f>'Daily Energy'!G280</f>
        <v>1596</v>
      </c>
      <c r="H280" s="34">
        <f t="shared" si="32"/>
        <v>4246</v>
      </c>
      <c r="I280" s="36">
        <f t="shared" si="33"/>
        <v>46023</v>
      </c>
      <c r="J280" s="34">
        <f t="shared" si="34"/>
        <v>4246</v>
      </c>
      <c r="K280" s="34" t="str">
        <f t="shared" si="35"/>
        <v/>
      </c>
      <c r="L280" s="33">
        <f>IF(AND(C280="No",H280&gt;'Analysis Summary'!$B$5),1,0)</f>
        <v>0</v>
      </c>
      <c r="M280" s="33" t="str">
        <f>IF(L280=1,SUM($L$2:L280),"")</f>
        <v/>
      </c>
      <c r="N280" s="33" t="str">
        <f>IF(C280="Yes",COUNTIF($C$2:C280,"Yes"),"")</f>
        <v/>
      </c>
      <c r="P280" s="37">
        <v>279</v>
      </c>
      <c r="Q280" s="32">
        <f t="shared" si="36"/>
        <v>46072</v>
      </c>
      <c r="R280" s="34">
        <f t="shared" si="37"/>
        <v>1612</v>
      </c>
      <c r="S280" s="35">
        <f t="shared" si="38"/>
        <v>21.8</v>
      </c>
      <c r="T280" s="34">
        <f t="shared" si="39"/>
        <v>12231</v>
      </c>
    </row>
    <row r="281" spans="1:20" x14ac:dyDescent="0.25">
      <c r="A281" s="32">
        <f>'Daily Energy'!A281</f>
        <v>46027</v>
      </c>
      <c r="B281" s="33" t="str">
        <f>'Daily Energy'!B281</f>
        <v>Monday</v>
      </c>
      <c r="C281" s="33" t="str">
        <f>'Daily Energy'!C281</f>
        <v>Yes</v>
      </c>
      <c r="D281" s="34">
        <f>'Daily Energy'!D281</f>
        <v>1903</v>
      </c>
      <c r="E281" s="35">
        <f>'Daily Energy'!E281</f>
        <v>24</v>
      </c>
      <c r="F281" s="34">
        <f>'Daily Energy'!F281</f>
        <v>12021</v>
      </c>
      <c r="G281" s="34">
        <f>'Daily Energy'!G281</f>
        <v>1437</v>
      </c>
      <c r="H281" s="34">
        <f t="shared" si="32"/>
        <v>13458</v>
      </c>
      <c r="I281" s="36">
        <f t="shared" si="33"/>
        <v>46023</v>
      </c>
      <c r="J281" s="34" t="str">
        <f t="shared" si="34"/>
        <v/>
      </c>
      <c r="K281" s="34">
        <f t="shared" si="35"/>
        <v>13458</v>
      </c>
      <c r="L281" s="33">
        <f>IF(AND(C281="No",H281&gt;'Analysis Summary'!$B$5),1,0)</f>
        <v>0</v>
      </c>
      <c r="M281" s="33" t="str">
        <f>IF(L281=1,SUM($L$2:L281),"")</f>
        <v/>
      </c>
      <c r="N281" s="33">
        <f>IF(C281="Yes",COUNTIF($C$2:C281,"Yes"),"")</f>
        <v>240</v>
      </c>
      <c r="P281" s="37">
        <v>280</v>
      </c>
      <c r="Q281" s="32">
        <f t="shared" si="36"/>
        <v>46073</v>
      </c>
      <c r="R281" s="34">
        <f t="shared" si="37"/>
        <v>1857</v>
      </c>
      <c r="S281" s="35">
        <f t="shared" si="38"/>
        <v>22.4</v>
      </c>
      <c r="T281" s="34">
        <f t="shared" si="39"/>
        <v>13653</v>
      </c>
    </row>
    <row r="282" spans="1:20" x14ac:dyDescent="0.25">
      <c r="A282" s="32">
        <f>'Daily Energy'!A282</f>
        <v>46028</v>
      </c>
      <c r="B282" s="33" t="str">
        <f>'Daily Energy'!B282</f>
        <v>Tuesday</v>
      </c>
      <c r="C282" s="33" t="str">
        <f>'Daily Energy'!C282</f>
        <v>Yes</v>
      </c>
      <c r="D282" s="34">
        <f>'Daily Energy'!D282</f>
        <v>1628</v>
      </c>
      <c r="E282" s="35">
        <f>'Daily Energy'!E282</f>
        <v>19.2</v>
      </c>
      <c r="F282" s="34">
        <f>'Daily Energy'!F282</f>
        <v>10484</v>
      </c>
      <c r="G282" s="34">
        <f>'Daily Energy'!G282</f>
        <v>1480</v>
      </c>
      <c r="H282" s="34">
        <f t="shared" si="32"/>
        <v>11964</v>
      </c>
      <c r="I282" s="36">
        <f t="shared" si="33"/>
        <v>46023</v>
      </c>
      <c r="J282" s="34" t="str">
        <f t="shared" si="34"/>
        <v/>
      </c>
      <c r="K282" s="34">
        <f t="shared" si="35"/>
        <v>11964</v>
      </c>
      <c r="L282" s="33">
        <f>IF(AND(C282="No",H282&gt;'Analysis Summary'!$B$5),1,0)</f>
        <v>0</v>
      </c>
      <c r="M282" s="33" t="str">
        <f>IF(L282=1,SUM($L$2:L282),"")</f>
        <v/>
      </c>
      <c r="N282" s="33">
        <f>IF(C282="Yes",COUNTIF($C$2:C282,"Yes"),"")</f>
        <v>241</v>
      </c>
      <c r="P282" s="37">
        <v>281</v>
      </c>
      <c r="Q282" s="32">
        <f t="shared" si="36"/>
        <v>46074</v>
      </c>
      <c r="R282" s="34">
        <f t="shared" si="37"/>
        <v>1781</v>
      </c>
      <c r="S282" s="35">
        <f t="shared" si="38"/>
        <v>22.4</v>
      </c>
      <c r="T282" s="34">
        <f t="shared" si="39"/>
        <v>13601</v>
      </c>
    </row>
    <row r="283" spans="1:20" x14ac:dyDescent="0.25">
      <c r="A283" s="32">
        <f>'Daily Energy'!A283</f>
        <v>46029</v>
      </c>
      <c r="B283" s="33" t="str">
        <f>'Daily Energy'!B283</f>
        <v>Wednesday</v>
      </c>
      <c r="C283" s="33" t="str">
        <f>'Daily Energy'!C283</f>
        <v>Yes</v>
      </c>
      <c r="D283" s="34">
        <f>'Daily Energy'!D283</f>
        <v>2028</v>
      </c>
      <c r="E283" s="35">
        <f>'Daily Energy'!E283</f>
        <v>23</v>
      </c>
      <c r="F283" s="34">
        <f>'Daily Energy'!F283</f>
        <v>12869</v>
      </c>
      <c r="G283" s="34">
        <f>'Daily Energy'!G283</f>
        <v>1744</v>
      </c>
      <c r="H283" s="34">
        <f t="shared" si="32"/>
        <v>14613</v>
      </c>
      <c r="I283" s="36">
        <f t="shared" si="33"/>
        <v>46023</v>
      </c>
      <c r="J283" s="34" t="str">
        <f t="shared" si="34"/>
        <v/>
      </c>
      <c r="K283" s="34">
        <f t="shared" si="35"/>
        <v>14613</v>
      </c>
      <c r="L283" s="33">
        <f>IF(AND(C283="No",H283&gt;'Analysis Summary'!$B$5),1,0)</f>
        <v>0</v>
      </c>
      <c r="M283" s="33" t="str">
        <f>IF(L283=1,SUM($L$2:L283),"")</f>
        <v/>
      </c>
      <c r="N283" s="33">
        <f>IF(C283="Yes",COUNTIF($C$2:C283,"Yes"),"")</f>
        <v>242</v>
      </c>
      <c r="P283" s="37">
        <v>282</v>
      </c>
      <c r="Q283" s="32">
        <f t="shared" si="36"/>
        <v>46076</v>
      </c>
      <c r="R283" s="34">
        <f t="shared" si="37"/>
        <v>1937</v>
      </c>
      <c r="S283" s="35">
        <f t="shared" si="38"/>
        <v>18</v>
      </c>
      <c r="T283" s="34">
        <f t="shared" si="39"/>
        <v>14148</v>
      </c>
    </row>
    <row r="284" spans="1:20" x14ac:dyDescent="0.25">
      <c r="A284" s="32">
        <f>'Daily Energy'!A284</f>
        <v>46030</v>
      </c>
      <c r="B284" s="33" t="str">
        <f>'Daily Energy'!B284</f>
        <v>Thursday</v>
      </c>
      <c r="C284" s="33" t="str">
        <f>'Daily Energy'!C284</f>
        <v>Yes</v>
      </c>
      <c r="D284" s="34">
        <f>'Daily Energy'!D284</f>
        <v>1975</v>
      </c>
      <c r="E284" s="35">
        <f>'Daily Energy'!E284</f>
        <v>22</v>
      </c>
      <c r="F284" s="34">
        <f>'Daily Energy'!F284</f>
        <v>12480</v>
      </c>
      <c r="G284" s="34">
        <f>'Daily Energy'!G284</f>
        <v>1856</v>
      </c>
      <c r="H284" s="34">
        <f t="shared" si="32"/>
        <v>14336</v>
      </c>
      <c r="I284" s="36">
        <f t="shared" si="33"/>
        <v>46023</v>
      </c>
      <c r="J284" s="34" t="str">
        <f t="shared" si="34"/>
        <v/>
      </c>
      <c r="K284" s="34">
        <f t="shared" si="35"/>
        <v>14336</v>
      </c>
      <c r="L284" s="33">
        <f>IF(AND(C284="No",H284&gt;'Analysis Summary'!$B$5),1,0)</f>
        <v>0</v>
      </c>
      <c r="M284" s="33" t="str">
        <f>IF(L284=1,SUM($L$2:L284),"")</f>
        <v/>
      </c>
      <c r="N284" s="33">
        <f>IF(C284="Yes",COUNTIF($C$2:C284,"Yes"),"")</f>
        <v>243</v>
      </c>
      <c r="P284" s="37">
        <v>283</v>
      </c>
      <c r="Q284" s="32">
        <f t="shared" si="36"/>
        <v>46077</v>
      </c>
      <c r="R284" s="34">
        <f t="shared" si="37"/>
        <v>1847</v>
      </c>
      <c r="S284" s="35">
        <f t="shared" si="38"/>
        <v>22.9</v>
      </c>
      <c r="T284" s="34">
        <f t="shared" si="39"/>
        <v>14124</v>
      </c>
    </row>
    <row r="285" spans="1:20" x14ac:dyDescent="0.25">
      <c r="A285" s="32">
        <f>'Daily Energy'!A285</f>
        <v>46031</v>
      </c>
      <c r="B285" s="33" t="str">
        <f>'Daily Energy'!B285</f>
        <v>Friday</v>
      </c>
      <c r="C285" s="33" t="str">
        <f>'Daily Energy'!C285</f>
        <v>Yes</v>
      </c>
      <c r="D285" s="34">
        <f>'Daily Energy'!D285</f>
        <v>1740</v>
      </c>
      <c r="E285" s="35">
        <f>'Daily Energy'!E285</f>
        <v>19.100000000000001</v>
      </c>
      <c r="F285" s="34">
        <f>'Daily Energy'!F285</f>
        <v>11447</v>
      </c>
      <c r="G285" s="34">
        <f>'Daily Energy'!G285</f>
        <v>1493</v>
      </c>
      <c r="H285" s="34">
        <f t="shared" si="32"/>
        <v>12940</v>
      </c>
      <c r="I285" s="36">
        <f t="shared" si="33"/>
        <v>46023</v>
      </c>
      <c r="J285" s="34" t="str">
        <f t="shared" si="34"/>
        <v/>
      </c>
      <c r="K285" s="34">
        <f t="shared" si="35"/>
        <v>12940</v>
      </c>
      <c r="L285" s="33">
        <f>IF(AND(C285="No",H285&gt;'Analysis Summary'!$B$5),1,0)</f>
        <v>0</v>
      </c>
      <c r="M285" s="33" t="str">
        <f>IF(L285=1,SUM($L$2:L285),"")</f>
        <v/>
      </c>
      <c r="N285" s="33">
        <f>IF(C285="Yes",COUNTIF($C$2:C285,"Yes"),"")</f>
        <v>244</v>
      </c>
      <c r="P285" s="37">
        <v>284</v>
      </c>
      <c r="Q285" s="32">
        <f t="shared" si="36"/>
        <v>46078</v>
      </c>
      <c r="R285" s="34">
        <f t="shared" si="37"/>
        <v>1820</v>
      </c>
      <c r="S285" s="35">
        <f t="shared" si="38"/>
        <v>22.9</v>
      </c>
      <c r="T285" s="34">
        <f t="shared" si="39"/>
        <v>13362</v>
      </c>
    </row>
    <row r="286" spans="1:20" x14ac:dyDescent="0.25">
      <c r="A286" s="32">
        <f>'Daily Energy'!A286</f>
        <v>46032</v>
      </c>
      <c r="B286" s="33" t="str">
        <f>'Daily Energy'!B286</f>
        <v>Saturday</v>
      </c>
      <c r="C286" s="33" t="str">
        <f>'Daily Energy'!C286</f>
        <v>Yes</v>
      </c>
      <c r="D286" s="34">
        <f>'Daily Energy'!D286</f>
        <v>1844</v>
      </c>
      <c r="E286" s="35">
        <f>'Daily Energy'!E286</f>
        <v>22.4</v>
      </c>
      <c r="F286" s="34">
        <f>'Daily Energy'!F286</f>
        <v>12094</v>
      </c>
      <c r="G286" s="34">
        <f>'Daily Energy'!G286</f>
        <v>1523</v>
      </c>
      <c r="H286" s="34">
        <f t="shared" si="32"/>
        <v>13617</v>
      </c>
      <c r="I286" s="36">
        <f t="shared" si="33"/>
        <v>46023</v>
      </c>
      <c r="J286" s="34" t="str">
        <f t="shared" si="34"/>
        <v/>
      </c>
      <c r="K286" s="34">
        <f t="shared" si="35"/>
        <v>13617</v>
      </c>
      <c r="L286" s="33">
        <f>IF(AND(C286="No",H286&gt;'Analysis Summary'!$B$5),1,0)</f>
        <v>0</v>
      </c>
      <c r="M286" s="33" t="str">
        <f>IF(L286=1,SUM($L$2:L286),"")</f>
        <v/>
      </c>
      <c r="N286" s="33">
        <f>IF(C286="Yes",COUNTIF($C$2:C286,"Yes"),"")</f>
        <v>245</v>
      </c>
      <c r="P286" s="37">
        <v>285</v>
      </c>
      <c r="Q286" s="32">
        <f t="shared" si="36"/>
        <v>46079</v>
      </c>
      <c r="R286" s="34">
        <f t="shared" si="37"/>
        <v>1784</v>
      </c>
      <c r="S286" s="35">
        <f t="shared" si="38"/>
        <v>23.3</v>
      </c>
      <c r="T286" s="34">
        <f t="shared" si="39"/>
        <v>13306</v>
      </c>
    </row>
    <row r="287" spans="1:20" x14ac:dyDescent="0.25">
      <c r="A287" s="32">
        <f>'Daily Energy'!A287</f>
        <v>46033</v>
      </c>
      <c r="B287" s="33" t="str">
        <f>'Daily Energy'!B287</f>
        <v>Sunday</v>
      </c>
      <c r="C287" s="33" t="str">
        <f>'Daily Energy'!C287</f>
        <v>No</v>
      </c>
      <c r="D287" s="34">
        <f>'Daily Energy'!D287</f>
        <v>0</v>
      </c>
      <c r="E287" s="35">
        <f>'Daily Energy'!E287</f>
        <v>21.8</v>
      </c>
      <c r="F287" s="34">
        <f>'Daily Energy'!F287</f>
        <v>2197</v>
      </c>
      <c r="G287" s="34">
        <f>'Daily Energy'!G287</f>
        <v>1577</v>
      </c>
      <c r="H287" s="34">
        <f t="shared" si="32"/>
        <v>3774</v>
      </c>
      <c r="I287" s="36">
        <f t="shared" si="33"/>
        <v>46023</v>
      </c>
      <c r="J287" s="34">
        <f t="shared" si="34"/>
        <v>3774</v>
      </c>
      <c r="K287" s="34" t="str">
        <f t="shared" si="35"/>
        <v/>
      </c>
      <c r="L287" s="33">
        <f>IF(AND(C287="No",H287&gt;'Analysis Summary'!$B$5),1,0)</f>
        <v>0</v>
      </c>
      <c r="M287" s="33" t="str">
        <f>IF(L287=1,SUM($L$2:L287),"")</f>
        <v/>
      </c>
      <c r="N287" s="33" t="str">
        <f>IF(C287="Yes",COUNTIF($C$2:C287,"Yes"),"")</f>
        <v/>
      </c>
      <c r="P287" s="37">
        <v>286</v>
      </c>
      <c r="Q287" s="32">
        <f t="shared" si="36"/>
        <v>46080</v>
      </c>
      <c r="R287" s="34">
        <f t="shared" si="37"/>
        <v>1903</v>
      </c>
      <c r="S287" s="35">
        <f t="shared" si="38"/>
        <v>22.2</v>
      </c>
      <c r="T287" s="34">
        <f t="shared" si="39"/>
        <v>13491</v>
      </c>
    </row>
    <row r="288" spans="1:20" x14ac:dyDescent="0.25">
      <c r="A288" s="32">
        <f>'Daily Energy'!A288</f>
        <v>46034</v>
      </c>
      <c r="B288" s="33" t="str">
        <f>'Daily Energy'!B288</f>
        <v>Monday</v>
      </c>
      <c r="C288" s="33" t="str">
        <f>'Daily Energy'!C288</f>
        <v>Yes</v>
      </c>
      <c r="D288" s="34">
        <f>'Daily Energy'!D288</f>
        <v>1921</v>
      </c>
      <c r="E288" s="35">
        <f>'Daily Energy'!E288</f>
        <v>21.3</v>
      </c>
      <c r="F288" s="34">
        <f>'Daily Energy'!F288</f>
        <v>12687</v>
      </c>
      <c r="G288" s="34">
        <f>'Daily Energy'!G288</f>
        <v>1471</v>
      </c>
      <c r="H288" s="34">
        <f t="shared" si="32"/>
        <v>14158</v>
      </c>
      <c r="I288" s="36">
        <f t="shared" si="33"/>
        <v>46023</v>
      </c>
      <c r="J288" s="34" t="str">
        <f t="shared" si="34"/>
        <v/>
      </c>
      <c r="K288" s="34">
        <f t="shared" si="35"/>
        <v>14158</v>
      </c>
      <c r="L288" s="33">
        <f>IF(AND(C288="No",H288&gt;'Analysis Summary'!$B$5),1,0)</f>
        <v>0</v>
      </c>
      <c r="M288" s="33" t="str">
        <f>IF(L288=1,SUM($L$2:L288),"")</f>
        <v/>
      </c>
      <c r="N288" s="33">
        <f>IF(C288="Yes",COUNTIF($C$2:C288,"Yes"),"")</f>
        <v>246</v>
      </c>
      <c r="P288" s="37">
        <v>287</v>
      </c>
      <c r="Q288" s="32">
        <f t="shared" si="36"/>
        <v>46081</v>
      </c>
      <c r="R288" s="34">
        <f t="shared" si="37"/>
        <v>1792</v>
      </c>
      <c r="S288" s="35">
        <f t="shared" si="38"/>
        <v>22.9</v>
      </c>
      <c r="T288" s="34">
        <f t="shared" si="39"/>
        <v>13167</v>
      </c>
    </row>
    <row r="289" spans="1:20" x14ac:dyDescent="0.25">
      <c r="A289" s="32">
        <f>'Daily Energy'!A289</f>
        <v>46035</v>
      </c>
      <c r="B289" s="33" t="str">
        <f>'Daily Energy'!B289</f>
        <v>Tuesday</v>
      </c>
      <c r="C289" s="33" t="str">
        <f>'Daily Energy'!C289</f>
        <v>Yes</v>
      </c>
      <c r="D289" s="34">
        <f>'Daily Energy'!D289</f>
        <v>1949</v>
      </c>
      <c r="E289" s="35">
        <f>'Daily Energy'!E289</f>
        <v>19</v>
      </c>
      <c r="F289" s="34">
        <f>'Daily Energy'!F289</f>
        <v>12322</v>
      </c>
      <c r="G289" s="34">
        <f>'Daily Energy'!G289</f>
        <v>1299</v>
      </c>
      <c r="H289" s="34">
        <f t="shared" si="32"/>
        <v>13621</v>
      </c>
      <c r="I289" s="36">
        <f t="shared" si="33"/>
        <v>46023</v>
      </c>
      <c r="J289" s="34" t="str">
        <f t="shared" si="34"/>
        <v/>
      </c>
      <c r="K289" s="34">
        <f t="shared" si="35"/>
        <v>13621</v>
      </c>
      <c r="L289" s="33">
        <f>IF(AND(C289="No",H289&gt;'Analysis Summary'!$B$5),1,0)</f>
        <v>0</v>
      </c>
      <c r="M289" s="33" t="str">
        <f>IF(L289=1,SUM($L$2:L289),"")</f>
        <v/>
      </c>
      <c r="N289" s="33">
        <f>IF(C289="Yes",COUNTIF($C$2:C289,"Yes"),"")</f>
        <v>247</v>
      </c>
      <c r="P289" s="37">
        <v>288</v>
      </c>
      <c r="Q289" s="32">
        <f t="shared" si="36"/>
        <v>46083</v>
      </c>
      <c r="R289" s="34">
        <f t="shared" si="37"/>
        <v>1578</v>
      </c>
      <c r="S289" s="35">
        <f t="shared" si="38"/>
        <v>24.7</v>
      </c>
      <c r="T289" s="34">
        <f t="shared" si="39"/>
        <v>11962</v>
      </c>
    </row>
    <row r="290" spans="1:20" x14ac:dyDescent="0.25">
      <c r="A290" s="32">
        <f>'Daily Energy'!A290</f>
        <v>46036</v>
      </c>
      <c r="B290" s="33" t="str">
        <f>'Daily Energy'!B290</f>
        <v>Wednesday</v>
      </c>
      <c r="C290" s="33" t="str">
        <f>'Daily Energy'!C290</f>
        <v>Yes</v>
      </c>
      <c r="D290" s="34">
        <f>'Daily Energy'!D290</f>
        <v>1829</v>
      </c>
      <c r="E290" s="35">
        <f>'Daily Energy'!E290</f>
        <v>21.7</v>
      </c>
      <c r="F290" s="34">
        <f>'Daily Energy'!F290</f>
        <v>11871</v>
      </c>
      <c r="G290" s="34">
        <f>'Daily Energy'!G290</f>
        <v>1452</v>
      </c>
      <c r="H290" s="34">
        <f t="shared" si="32"/>
        <v>13323</v>
      </c>
      <c r="I290" s="36">
        <f t="shared" si="33"/>
        <v>46023</v>
      </c>
      <c r="J290" s="34" t="str">
        <f t="shared" si="34"/>
        <v/>
      </c>
      <c r="K290" s="34">
        <f t="shared" si="35"/>
        <v>13323</v>
      </c>
      <c r="L290" s="33">
        <f>IF(AND(C290="No",H290&gt;'Analysis Summary'!$B$5),1,0)</f>
        <v>0</v>
      </c>
      <c r="M290" s="33" t="str">
        <f>IF(L290=1,SUM($L$2:L290),"")</f>
        <v/>
      </c>
      <c r="N290" s="33">
        <f>IF(C290="Yes",COUNTIF($C$2:C290,"Yes"),"")</f>
        <v>248</v>
      </c>
      <c r="P290" s="37">
        <v>289</v>
      </c>
      <c r="Q290" s="32">
        <f t="shared" si="36"/>
        <v>46084</v>
      </c>
      <c r="R290" s="34">
        <f t="shared" si="37"/>
        <v>1654</v>
      </c>
      <c r="S290" s="35">
        <f t="shared" si="38"/>
        <v>21.8</v>
      </c>
      <c r="T290" s="34">
        <f t="shared" si="39"/>
        <v>12594</v>
      </c>
    </row>
    <row r="291" spans="1:20" x14ac:dyDescent="0.25">
      <c r="A291" s="32">
        <f>'Daily Energy'!A291</f>
        <v>46037</v>
      </c>
      <c r="B291" s="33" t="str">
        <f>'Daily Energy'!B291</f>
        <v>Thursday</v>
      </c>
      <c r="C291" s="33" t="str">
        <f>'Daily Energy'!C291</f>
        <v>Yes</v>
      </c>
      <c r="D291" s="34">
        <f>'Daily Energy'!D291</f>
        <v>1584</v>
      </c>
      <c r="E291" s="35">
        <f>'Daily Energy'!E291</f>
        <v>21.7</v>
      </c>
      <c r="F291" s="34">
        <f>'Daily Energy'!F291</f>
        <v>10149</v>
      </c>
      <c r="G291" s="34">
        <f>'Daily Energy'!G291</f>
        <v>1346</v>
      </c>
      <c r="H291" s="34">
        <f t="shared" si="32"/>
        <v>11495</v>
      </c>
      <c r="I291" s="36">
        <f t="shared" si="33"/>
        <v>46023</v>
      </c>
      <c r="J291" s="34" t="str">
        <f t="shared" si="34"/>
        <v/>
      </c>
      <c r="K291" s="34">
        <f t="shared" si="35"/>
        <v>11495</v>
      </c>
      <c r="L291" s="33">
        <f>IF(AND(C291="No",H291&gt;'Analysis Summary'!$B$5),1,0)</f>
        <v>0</v>
      </c>
      <c r="M291" s="33" t="str">
        <f>IF(L291=1,SUM($L$2:L291),"")</f>
        <v/>
      </c>
      <c r="N291" s="33">
        <f>IF(C291="Yes",COUNTIF($C$2:C291,"Yes"),"")</f>
        <v>249</v>
      </c>
      <c r="P291" s="37">
        <v>290</v>
      </c>
      <c r="Q291" s="32">
        <f t="shared" si="36"/>
        <v>46085</v>
      </c>
      <c r="R291" s="34">
        <f t="shared" si="37"/>
        <v>1880</v>
      </c>
      <c r="S291" s="35">
        <f t="shared" si="38"/>
        <v>26.1</v>
      </c>
      <c r="T291" s="34">
        <f t="shared" si="39"/>
        <v>14173</v>
      </c>
    </row>
    <row r="292" spans="1:20" x14ac:dyDescent="0.25">
      <c r="A292" s="32">
        <f>'Daily Energy'!A292</f>
        <v>46038</v>
      </c>
      <c r="B292" s="33" t="str">
        <f>'Daily Energy'!B292</f>
        <v>Friday</v>
      </c>
      <c r="C292" s="33" t="str">
        <f>'Daily Energy'!C292</f>
        <v>Yes</v>
      </c>
      <c r="D292" s="34">
        <f>'Daily Energy'!D292</f>
        <v>1668</v>
      </c>
      <c r="E292" s="35">
        <f>'Daily Energy'!E292</f>
        <v>20.7</v>
      </c>
      <c r="F292" s="34">
        <f>'Daily Energy'!F292</f>
        <v>11572</v>
      </c>
      <c r="G292" s="34">
        <f>'Daily Energy'!G292</f>
        <v>1738</v>
      </c>
      <c r="H292" s="34">
        <f t="shared" si="32"/>
        <v>13310</v>
      </c>
      <c r="I292" s="36">
        <f t="shared" si="33"/>
        <v>46023</v>
      </c>
      <c r="J292" s="34" t="str">
        <f t="shared" si="34"/>
        <v/>
      </c>
      <c r="K292" s="34">
        <f t="shared" si="35"/>
        <v>13310</v>
      </c>
      <c r="L292" s="33">
        <f>IF(AND(C292="No",H292&gt;'Analysis Summary'!$B$5),1,0)</f>
        <v>0</v>
      </c>
      <c r="M292" s="33" t="str">
        <f>IF(L292=1,SUM($L$2:L292),"")</f>
        <v/>
      </c>
      <c r="N292" s="33">
        <f>IF(C292="Yes",COUNTIF($C$2:C292,"Yes"),"")</f>
        <v>250</v>
      </c>
      <c r="P292" s="37">
        <v>291</v>
      </c>
      <c r="Q292" s="32">
        <f t="shared" si="36"/>
        <v>46086</v>
      </c>
      <c r="R292" s="34">
        <f t="shared" si="37"/>
        <v>2035</v>
      </c>
      <c r="S292" s="35">
        <f t="shared" si="38"/>
        <v>23.1</v>
      </c>
      <c r="T292" s="34">
        <f t="shared" si="39"/>
        <v>14805</v>
      </c>
    </row>
    <row r="293" spans="1:20" x14ac:dyDescent="0.25">
      <c r="A293" s="32">
        <f>'Daily Energy'!A293</f>
        <v>46039</v>
      </c>
      <c r="B293" s="33" t="str">
        <f>'Daily Energy'!B293</f>
        <v>Saturday</v>
      </c>
      <c r="C293" s="33" t="str">
        <f>'Daily Energy'!C293</f>
        <v>Yes</v>
      </c>
      <c r="D293" s="34">
        <f>'Daily Energy'!D293</f>
        <v>1435</v>
      </c>
      <c r="E293" s="35">
        <f>'Daily Energy'!E293</f>
        <v>20.3</v>
      </c>
      <c r="F293" s="34">
        <f>'Daily Energy'!F293</f>
        <v>10070</v>
      </c>
      <c r="G293" s="34">
        <f>'Daily Energy'!G293</f>
        <v>1723</v>
      </c>
      <c r="H293" s="34">
        <f t="shared" si="32"/>
        <v>11793</v>
      </c>
      <c r="I293" s="36">
        <f t="shared" si="33"/>
        <v>46023</v>
      </c>
      <c r="J293" s="34" t="str">
        <f t="shared" si="34"/>
        <v/>
      </c>
      <c r="K293" s="34">
        <f t="shared" si="35"/>
        <v>11793</v>
      </c>
      <c r="L293" s="33">
        <f>IF(AND(C293="No",H293&gt;'Analysis Summary'!$B$5),1,0)</f>
        <v>0</v>
      </c>
      <c r="M293" s="33" t="str">
        <f>IF(L293=1,SUM($L$2:L293),"")</f>
        <v/>
      </c>
      <c r="N293" s="33">
        <f>IF(C293="Yes",COUNTIF($C$2:C293,"Yes"),"")</f>
        <v>251</v>
      </c>
      <c r="P293" s="37">
        <v>292</v>
      </c>
      <c r="Q293" s="32">
        <f t="shared" si="36"/>
        <v>46087</v>
      </c>
      <c r="R293" s="34">
        <f t="shared" si="37"/>
        <v>1838</v>
      </c>
      <c r="S293" s="35">
        <f t="shared" si="38"/>
        <v>22.3</v>
      </c>
      <c r="T293" s="34">
        <f t="shared" si="39"/>
        <v>14501</v>
      </c>
    </row>
    <row r="294" spans="1:20" x14ac:dyDescent="0.25">
      <c r="A294" s="32">
        <f>'Daily Energy'!A294</f>
        <v>46040</v>
      </c>
      <c r="B294" s="33" t="str">
        <f>'Daily Energy'!B294</f>
        <v>Sunday</v>
      </c>
      <c r="C294" s="33" t="str">
        <f>'Daily Energy'!C294</f>
        <v>No</v>
      </c>
      <c r="D294" s="34">
        <f>'Daily Energy'!D294</f>
        <v>0</v>
      </c>
      <c r="E294" s="35">
        <f>'Daily Energy'!E294</f>
        <v>22.6</v>
      </c>
      <c r="F294" s="34">
        <f>'Daily Energy'!F294</f>
        <v>2551</v>
      </c>
      <c r="G294" s="34">
        <f>'Daily Energy'!G294</f>
        <v>1724</v>
      </c>
      <c r="H294" s="34">
        <f t="shared" si="32"/>
        <v>4275</v>
      </c>
      <c r="I294" s="36">
        <f t="shared" si="33"/>
        <v>46023</v>
      </c>
      <c r="J294" s="34">
        <f t="shared" si="34"/>
        <v>4275</v>
      </c>
      <c r="K294" s="34" t="str">
        <f t="shared" si="35"/>
        <v/>
      </c>
      <c r="L294" s="33">
        <f>IF(AND(C294="No",H294&gt;'Analysis Summary'!$B$5),1,0)</f>
        <v>0</v>
      </c>
      <c r="M294" s="33" t="str">
        <f>IF(L294=1,SUM($L$2:L294),"")</f>
        <v/>
      </c>
      <c r="N294" s="33" t="str">
        <f>IF(C294="Yes",COUNTIF($C$2:C294,"Yes"),"")</f>
        <v/>
      </c>
      <c r="P294" s="37">
        <v>293</v>
      </c>
      <c r="Q294" s="32">
        <f t="shared" si="36"/>
        <v>46088</v>
      </c>
      <c r="R294" s="34">
        <f t="shared" si="37"/>
        <v>1926</v>
      </c>
      <c r="S294" s="35">
        <f t="shared" si="38"/>
        <v>23.8</v>
      </c>
      <c r="T294" s="34">
        <f t="shared" si="39"/>
        <v>14543</v>
      </c>
    </row>
    <row r="295" spans="1:20" x14ac:dyDescent="0.25">
      <c r="A295" s="32">
        <f>'Daily Energy'!A295</f>
        <v>46041</v>
      </c>
      <c r="B295" s="33" t="str">
        <f>'Daily Energy'!B295</f>
        <v>Monday</v>
      </c>
      <c r="C295" s="33" t="str">
        <f>'Daily Energy'!C295</f>
        <v>Yes</v>
      </c>
      <c r="D295" s="34">
        <f>'Daily Energy'!D295</f>
        <v>1835</v>
      </c>
      <c r="E295" s="35">
        <f>'Daily Energy'!E295</f>
        <v>21</v>
      </c>
      <c r="F295" s="34">
        <f>'Daily Energy'!F295</f>
        <v>11706</v>
      </c>
      <c r="G295" s="34">
        <f>'Daily Energy'!G295</f>
        <v>1400</v>
      </c>
      <c r="H295" s="34">
        <f t="shared" si="32"/>
        <v>13106</v>
      </c>
      <c r="I295" s="36">
        <f t="shared" si="33"/>
        <v>46023</v>
      </c>
      <c r="J295" s="34" t="str">
        <f t="shared" si="34"/>
        <v/>
      </c>
      <c r="K295" s="34">
        <f t="shared" si="35"/>
        <v>13106</v>
      </c>
      <c r="L295" s="33">
        <f>IF(AND(C295="No",H295&gt;'Analysis Summary'!$B$5),1,0)</f>
        <v>0</v>
      </c>
      <c r="M295" s="33" t="str">
        <f>IF(L295=1,SUM($L$2:L295),"")</f>
        <v/>
      </c>
      <c r="N295" s="33">
        <f>IF(C295="Yes",COUNTIF($C$2:C295,"Yes"),"")</f>
        <v>252</v>
      </c>
      <c r="P295" s="37">
        <v>294</v>
      </c>
      <c r="Q295" s="32">
        <f t="shared" si="36"/>
        <v>46090</v>
      </c>
      <c r="R295" s="34">
        <f t="shared" si="37"/>
        <v>2062</v>
      </c>
      <c r="S295" s="35">
        <f t="shared" si="38"/>
        <v>24.7</v>
      </c>
      <c r="T295" s="34">
        <f t="shared" si="39"/>
        <v>14554</v>
      </c>
    </row>
    <row r="296" spans="1:20" x14ac:dyDescent="0.25">
      <c r="A296" s="32">
        <f>'Daily Energy'!A296</f>
        <v>46042</v>
      </c>
      <c r="B296" s="33" t="str">
        <f>'Daily Energy'!B296</f>
        <v>Tuesday</v>
      </c>
      <c r="C296" s="33" t="str">
        <f>'Daily Energy'!C296</f>
        <v>Yes</v>
      </c>
      <c r="D296" s="34">
        <f>'Daily Energy'!D296</f>
        <v>1639</v>
      </c>
      <c r="E296" s="35">
        <f>'Daily Energy'!E296</f>
        <v>20</v>
      </c>
      <c r="F296" s="34">
        <f>'Daily Energy'!F296</f>
        <v>10844</v>
      </c>
      <c r="G296" s="34">
        <f>'Daily Energy'!G296</f>
        <v>1378</v>
      </c>
      <c r="H296" s="34">
        <f t="shared" si="32"/>
        <v>12222</v>
      </c>
      <c r="I296" s="36">
        <f t="shared" si="33"/>
        <v>46023</v>
      </c>
      <c r="J296" s="34" t="str">
        <f t="shared" si="34"/>
        <v/>
      </c>
      <c r="K296" s="34">
        <f t="shared" si="35"/>
        <v>12222</v>
      </c>
      <c r="L296" s="33">
        <f>IF(AND(C296="No",H296&gt;'Analysis Summary'!$B$5),1,0)</f>
        <v>0</v>
      </c>
      <c r="M296" s="33" t="str">
        <f>IF(L296=1,SUM($L$2:L296),"")</f>
        <v/>
      </c>
      <c r="N296" s="33">
        <f>IF(C296="Yes",COUNTIF($C$2:C296,"Yes"),"")</f>
        <v>253</v>
      </c>
      <c r="P296" s="37">
        <v>295</v>
      </c>
      <c r="Q296" s="32">
        <f t="shared" si="36"/>
        <v>46091</v>
      </c>
      <c r="R296" s="34">
        <f t="shared" si="37"/>
        <v>1556</v>
      </c>
      <c r="S296" s="35">
        <f t="shared" si="38"/>
        <v>24.1</v>
      </c>
      <c r="T296" s="34">
        <f t="shared" si="39"/>
        <v>12277</v>
      </c>
    </row>
    <row r="297" spans="1:20" x14ac:dyDescent="0.25">
      <c r="A297" s="32">
        <f>'Daily Energy'!A297</f>
        <v>46043</v>
      </c>
      <c r="B297" s="33" t="str">
        <f>'Daily Energy'!B297</f>
        <v>Wednesday</v>
      </c>
      <c r="C297" s="33" t="str">
        <f>'Daily Energy'!C297</f>
        <v>Yes</v>
      </c>
      <c r="D297" s="34">
        <f>'Daily Energy'!D297</f>
        <v>1763</v>
      </c>
      <c r="E297" s="35">
        <f>'Daily Energy'!E297</f>
        <v>23.4</v>
      </c>
      <c r="F297" s="34">
        <f>'Daily Energy'!F297</f>
        <v>11455</v>
      </c>
      <c r="G297" s="34">
        <f>'Daily Energy'!G297</f>
        <v>1604</v>
      </c>
      <c r="H297" s="34">
        <f t="shared" si="32"/>
        <v>13059</v>
      </c>
      <c r="I297" s="36">
        <f t="shared" si="33"/>
        <v>46023</v>
      </c>
      <c r="J297" s="34" t="str">
        <f t="shared" si="34"/>
        <v/>
      </c>
      <c r="K297" s="34">
        <f t="shared" si="35"/>
        <v>13059</v>
      </c>
      <c r="L297" s="33">
        <f>IF(AND(C297="No",H297&gt;'Analysis Summary'!$B$5),1,0)</f>
        <v>0</v>
      </c>
      <c r="M297" s="33" t="str">
        <f>IF(L297=1,SUM($L$2:L297),"")</f>
        <v/>
      </c>
      <c r="N297" s="33">
        <f>IF(C297="Yes",COUNTIF($C$2:C297,"Yes"),"")</f>
        <v>254</v>
      </c>
      <c r="P297" s="37">
        <v>296</v>
      </c>
      <c r="Q297" s="32">
        <f t="shared" si="36"/>
        <v>46092</v>
      </c>
      <c r="R297" s="34">
        <f t="shared" si="37"/>
        <v>1678</v>
      </c>
      <c r="S297" s="35">
        <f t="shared" si="38"/>
        <v>22</v>
      </c>
      <c r="T297" s="34">
        <f t="shared" si="39"/>
        <v>12903</v>
      </c>
    </row>
    <row r="298" spans="1:20" x14ac:dyDescent="0.25">
      <c r="A298" s="32">
        <f>'Daily Energy'!A298</f>
        <v>46044</v>
      </c>
      <c r="B298" s="33" t="str">
        <f>'Daily Energy'!B298</f>
        <v>Thursday</v>
      </c>
      <c r="C298" s="33" t="str">
        <f>'Daily Energy'!C298</f>
        <v>Yes</v>
      </c>
      <c r="D298" s="34">
        <f>'Daily Energy'!D298</f>
        <v>1949</v>
      </c>
      <c r="E298" s="35">
        <f>'Daily Energy'!E298</f>
        <v>22.5</v>
      </c>
      <c r="F298" s="34">
        <f>'Daily Energy'!F298</f>
        <v>12494</v>
      </c>
      <c r="G298" s="34">
        <f>'Daily Energy'!G298</f>
        <v>1663</v>
      </c>
      <c r="H298" s="34">
        <f t="shared" si="32"/>
        <v>14157</v>
      </c>
      <c r="I298" s="36">
        <f t="shared" si="33"/>
        <v>46023</v>
      </c>
      <c r="J298" s="34" t="str">
        <f t="shared" si="34"/>
        <v/>
      </c>
      <c r="K298" s="34">
        <f t="shared" si="35"/>
        <v>14157</v>
      </c>
      <c r="L298" s="33">
        <f>IF(AND(C298="No",H298&gt;'Analysis Summary'!$B$5),1,0)</f>
        <v>0</v>
      </c>
      <c r="M298" s="33" t="str">
        <f>IF(L298=1,SUM($L$2:L298),"")</f>
        <v/>
      </c>
      <c r="N298" s="33">
        <f>IF(C298="Yes",COUNTIF($C$2:C298,"Yes"),"")</f>
        <v>255</v>
      </c>
      <c r="P298" s="37">
        <v>297</v>
      </c>
      <c r="Q298" s="32">
        <f t="shared" si="36"/>
        <v>46093</v>
      </c>
      <c r="R298" s="34">
        <f t="shared" si="37"/>
        <v>1722</v>
      </c>
      <c r="S298" s="35">
        <f t="shared" si="38"/>
        <v>21.9</v>
      </c>
      <c r="T298" s="34">
        <f t="shared" si="39"/>
        <v>13222</v>
      </c>
    </row>
    <row r="299" spans="1:20" x14ac:dyDescent="0.25">
      <c r="A299" s="32">
        <f>'Daily Energy'!A299</f>
        <v>46045</v>
      </c>
      <c r="B299" s="33" t="str">
        <f>'Daily Energy'!B299</f>
        <v>Friday</v>
      </c>
      <c r="C299" s="33" t="str">
        <f>'Daily Energy'!C299</f>
        <v>Yes</v>
      </c>
      <c r="D299" s="34">
        <f>'Daily Energy'!D299</f>
        <v>1836</v>
      </c>
      <c r="E299" s="35">
        <f>'Daily Energy'!E299</f>
        <v>19.399999999999999</v>
      </c>
      <c r="F299" s="34">
        <f>'Daily Energy'!F299</f>
        <v>11895</v>
      </c>
      <c r="G299" s="34">
        <f>'Daily Energy'!G299</f>
        <v>1126</v>
      </c>
      <c r="H299" s="34">
        <f t="shared" si="32"/>
        <v>13021</v>
      </c>
      <c r="I299" s="36">
        <f t="shared" si="33"/>
        <v>46023</v>
      </c>
      <c r="J299" s="34" t="str">
        <f t="shared" si="34"/>
        <v/>
      </c>
      <c r="K299" s="34">
        <f t="shared" si="35"/>
        <v>13021</v>
      </c>
      <c r="L299" s="33">
        <f>IF(AND(C299="No",H299&gt;'Analysis Summary'!$B$5),1,0)</f>
        <v>0</v>
      </c>
      <c r="M299" s="33" t="str">
        <f>IF(L299=1,SUM($L$2:L299),"")</f>
        <v/>
      </c>
      <c r="N299" s="33">
        <f>IF(C299="Yes",COUNTIF($C$2:C299,"Yes"),"")</f>
        <v>256</v>
      </c>
      <c r="P299" s="37">
        <v>298</v>
      </c>
      <c r="Q299" s="32">
        <f t="shared" si="36"/>
        <v>46094</v>
      </c>
      <c r="R299" s="34">
        <f t="shared" si="37"/>
        <v>1850</v>
      </c>
      <c r="S299" s="35">
        <f t="shared" si="38"/>
        <v>20.100000000000001</v>
      </c>
      <c r="T299" s="34">
        <f t="shared" si="39"/>
        <v>14203</v>
      </c>
    </row>
    <row r="300" spans="1:20" x14ac:dyDescent="0.25">
      <c r="A300" s="32">
        <f>'Daily Energy'!A300</f>
        <v>46046</v>
      </c>
      <c r="B300" s="33" t="str">
        <f>'Daily Energy'!B300</f>
        <v>Saturday</v>
      </c>
      <c r="C300" s="33" t="str">
        <f>'Daily Energy'!C300</f>
        <v>Yes</v>
      </c>
      <c r="D300" s="34">
        <f>'Daily Energy'!D300</f>
        <v>1781</v>
      </c>
      <c r="E300" s="35">
        <f>'Daily Energy'!E300</f>
        <v>18.100000000000001</v>
      </c>
      <c r="F300" s="34">
        <f>'Daily Energy'!F300</f>
        <v>11512</v>
      </c>
      <c r="G300" s="34">
        <f>'Daily Energy'!G300</f>
        <v>1729</v>
      </c>
      <c r="H300" s="34">
        <f t="shared" si="32"/>
        <v>13241</v>
      </c>
      <c r="I300" s="36">
        <f t="shared" si="33"/>
        <v>46023</v>
      </c>
      <c r="J300" s="34" t="str">
        <f t="shared" si="34"/>
        <v/>
      </c>
      <c r="K300" s="34">
        <f t="shared" si="35"/>
        <v>13241</v>
      </c>
      <c r="L300" s="33">
        <f>IF(AND(C300="No",H300&gt;'Analysis Summary'!$B$5),1,0)</f>
        <v>0</v>
      </c>
      <c r="M300" s="33" t="str">
        <f>IF(L300=1,SUM($L$2:L300),"")</f>
        <v/>
      </c>
      <c r="N300" s="33">
        <f>IF(C300="Yes",COUNTIF($C$2:C300,"Yes"),"")</f>
        <v>257</v>
      </c>
      <c r="P300" s="37">
        <v>299</v>
      </c>
      <c r="Q300" s="32">
        <f t="shared" si="36"/>
        <v>46095</v>
      </c>
      <c r="R300" s="34">
        <f t="shared" si="37"/>
        <v>1975</v>
      </c>
      <c r="S300" s="35">
        <f t="shared" si="38"/>
        <v>24.4</v>
      </c>
      <c r="T300" s="34">
        <f t="shared" si="39"/>
        <v>14606</v>
      </c>
    </row>
    <row r="301" spans="1:20" x14ac:dyDescent="0.25">
      <c r="A301" s="32">
        <f>'Daily Energy'!A301</f>
        <v>46047</v>
      </c>
      <c r="B301" s="33" t="str">
        <f>'Daily Energy'!B301</f>
        <v>Sunday</v>
      </c>
      <c r="C301" s="33" t="str">
        <f>'Daily Energy'!C301</f>
        <v>No</v>
      </c>
      <c r="D301" s="34">
        <f>'Daily Energy'!D301</f>
        <v>0</v>
      </c>
      <c r="E301" s="35">
        <f>'Daily Energy'!E301</f>
        <v>21.5</v>
      </c>
      <c r="F301" s="34">
        <f>'Daily Energy'!F301</f>
        <v>2640</v>
      </c>
      <c r="G301" s="34">
        <f>'Daily Energy'!G301</f>
        <v>1600</v>
      </c>
      <c r="H301" s="34">
        <f t="shared" si="32"/>
        <v>4240</v>
      </c>
      <c r="I301" s="36">
        <f t="shared" si="33"/>
        <v>46023</v>
      </c>
      <c r="J301" s="34">
        <f t="shared" si="34"/>
        <v>4240</v>
      </c>
      <c r="K301" s="34" t="str">
        <f t="shared" si="35"/>
        <v/>
      </c>
      <c r="L301" s="33">
        <f>IF(AND(C301="No",H301&gt;'Analysis Summary'!$B$5),1,0)</f>
        <v>0</v>
      </c>
      <c r="M301" s="33" t="str">
        <f>IF(L301=1,SUM($L$2:L301),"")</f>
        <v/>
      </c>
      <c r="N301" s="33" t="str">
        <f>IF(C301="Yes",COUNTIF($C$2:C301,"Yes"),"")</f>
        <v/>
      </c>
      <c r="P301" s="37">
        <v>300</v>
      </c>
      <c r="Q301" s="32">
        <f t="shared" si="36"/>
        <v>46097</v>
      </c>
      <c r="R301" s="34">
        <f t="shared" si="37"/>
        <v>1800</v>
      </c>
      <c r="S301" s="35">
        <f t="shared" si="38"/>
        <v>22.7</v>
      </c>
      <c r="T301" s="34">
        <f t="shared" si="39"/>
        <v>13909</v>
      </c>
    </row>
    <row r="302" spans="1:20" x14ac:dyDescent="0.25">
      <c r="A302" s="32">
        <f>'Daily Energy'!A302</f>
        <v>46048</v>
      </c>
      <c r="B302" s="33" t="str">
        <f>'Daily Energy'!B302</f>
        <v>Monday</v>
      </c>
      <c r="C302" s="33" t="str">
        <f>'Daily Energy'!C302</f>
        <v>Yes</v>
      </c>
      <c r="D302" s="34">
        <f>'Daily Energy'!D302</f>
        <v>1739</v>
      </c>
      <c r="E302" s="35">
        <f>'Daily Energy'!E302</f>
        <v>21.3</v>
      </c>
      <c r="F302" s="34">
        <f>'Daily Energy'!F302</f>
        <v>10922</v>
      </c>
      <c r="G302" s="34">
        <f>'Daily Energy'!G302</f>
        <v>1707</v>
      </c>
      <c r="H302" s="34">
        <f t="shared" si="32"/>
        <v>12629</v>
      </c>
      <c r="I302" s="36">
        <f t="shared" si="33"/>
        <v>46023</v>
      </c>
      <c r="J302" s="34" t="str">
        <f t="shared" si="34"/>
        <v/>
      </c>
      <c r="K302" s="34">
        <f t="shared" si="35"/>
        <v>12629</v>
      </c>
      <c r="L302" s="33">
        <f>IF(AND(C302="No",H302&gt;'Analysis Summary'!$B$5),1,0)</f>
        <v>0</v>
      </c>
      <c r="M302" s="33" t="str">
        <f>IF(L302=1,SUM($L$2:L302),"")</f>
        <v/>
      </c>
      <c r="N302" s="33">
        <f>IF(C302="Yes",COUNTIF($C$2:C302,"Yes"),"")</f>
        <v>258</v>
      </c>
      <c r="P302" s="37">
        <v>301</v>
      </c>
      <c r="Q302" s="32">
        <f t="shared" si="36"/>
        <v>46098</v>
      </c>
      <c r="R302" s="34">
        <f t="shared" si="37"/>
        <v>1883</v>
      </c>
      <c r="S302" s="35">
        <f t="shared" si="38"/>
        <v>24.1</v>
      </c>
      <c r="T302" s="34">
        <f t="shared" si="39"/>
        <v>14199</v>
      </c>
    </row>
    <row r="303" spans="1:20" x14ac:dyDescent="0.25">
      <c r="A303" s="32">
        <f>'Daily Energy'!A303</f>
        <v>46049</v>
      </c>
      <c r="B303" s="33" t="str">
        <f>'Daily Energy'!B303</f>
        <v>Tuesday</v>
      </c>
      <c r="C303" s="33" t="str">
        <f>'Daily Energy'!C303</f>
        <v>Yes</v>
      </c>
      <c r="D303" s="34">
        <f>'Daily Energy'!D303</f>
        <v>1811</v>
      </c>
      <c r="E303" s="35">
        <f>'Daily Energy'!E303</f>
        <v>18.5</v>
      </c>
      <c r="F303" s="34">
        <f>'Daily Energy'!F303</f>
        <v>12373</v>
      </c>
      <c r="G303" s="34">
        <f>'Daily Energy'!G303</f>
        <v>1648</v>
      </c>
      <c r="H303" s="34">
        <f t="shared" si="32"/>
        <v>14021</v>
      </c>
      <c r="I303" s="36">
        <f t="shared" si="33"/>
        <v>46023</v>
      </c>
      <c r="J303" s="34" t="str">
        <f t="shared" si="34"/>
        <v/>
      </c>
      <c r="K303" s="34">
        <f t="shared" si="35"/>
        <v>14021</v>
      </c>
      <c r="L303" s="33">
        <f>IF(AND(C303="No",H303&gt;'Analysis Summary'!$B$5),1,0)</f>
        <v>0</v>
      </c>
      <c r="M303" s="33" t="str">
        <f>IF(L303=1,SUM($L$2:L303),"")</f>
        <v/>
      </c>
      <c r="N303" s="33">
        <f>IF(C303="Yes",COUNTIF($C$2:C303,"Yes"),"")</f>
        <v>259</v>
      </c>
      <c r="P303" s="37">
        <v>302</v>
      </c>
      <c r="Q303" s="32">
        <f t="shared" si="36"/>
        <v>46099</v>
      </c>
      <c r="R303" s="34">
        <f t="shared" si="37"/>
        <v>1700</v>
      </c>
      <c r="S303" s="35">
        <f t="shared" si="38"/>
        <v>23.8</v>
      </c>
      <c r="T303" s="34">
        <f t="shared" si="39"/>
        <v>13214</v>
      </c>
    </row>
    <row r="304" spans="1:20" x14ac:dyDescent="0.25">
      <c r="A304" s="32">
        <f>'Daily Energy'!A304</f>
        <v>46050</v>
      </c>
      <c r="B304" s="33" t="str">
        <f>'Daily Energy'!B304</f>
        <v>Wednesday</v>
      </c>
      <c r="C304" s="33" t="str">
        <f>'Daily Energy'!C304</f>
        <v>Yes</v>
      </c>
      <c r="D304" s="34">
        <f>'Daily Energy'!D304</f>
        <v>1805</v>
      </c>
      <c r="E304" s="35">
        <f>'Daily Energy'!E304</f>
        <v>18.8</v>
      </c>
      <c r="F304" s="34">
        <f>'Daily Energy'!F304</f>
        <v>11942</v>
      </c>
      <c r="G304" s="34">
        <f>'Daily Energy'!G304</f>
        <v>1680</v>
      </c>
      <c r="H304" s="34">
        <f t="shared" si="32"/>
        <v>13622</v>
      </c>
      <c r="I304" s="36">
        <f t="shared" si="33"/>
        <v>46023</v>
      </c>
      <c r="J304" s="34" t="str">
        <f t="shared" si="34"/>
        <v/>
      </c>
      <c r="K304" s="34">
        <f t="shared" si="35"/>
        <v>13622</v>
      </c>
      <c r="L304" s="33">
        <f>IF(AND(C304="No",H304&gt;'Analysis Summary'!$B$5),1,0)</f>
        <v>0</v>
      </c>
      <c r="M304" s="33" t="str">
        <f>IF(L304=1,SUM($L$2:L304),"")</f>
        <v/>
      </c>
      <c r="N304" s="33">
        <f>IF(C304="Yes",COUNTIF($C$2:C304,"Yes"),"")</f>
        <v>260</v>
      </c>
      <c r="P304" s="37">
        <v>303</v>
      </c>
      <c r="Q304" s="32">
        <f t="shared" si="36"/>
        <v>46100</v>
      </c>
      <c r="R304" s="34">
        <f t="shared" si="37"/>
        <v>2001</v>
      </c>
      <c r="S304" s="35">
        <f t="shared" si="38"/>
        <v>21.7</v>
      </c>
      <c r="T304" s="34">
        <f t="shared" si="39"/>
        <v>14938</v>
      </c>
    </row>
    <row r="305" spans="1:20" x14ac:dyDescent="0.25">
      <c r="A305" s="32">
        <f>'Daily Energy'!A305</f>
        <v>46051</v>
      </c>
      <c r="B305" s="33" t="str">
        <f>'Daily Energy'!B305</f>
        <v>Thursday</v>
      </c>
      <c r="C305" s="33" t="str">
        <f>'Daily Energy'!C305</f>
        <v>Yes</v>
      </c>
      <c r="D305" s="34">
        <f>'Daily Energy'!D305</f>
        <v>1876</v>
      </c>
      <c r="E305" s="35">
        <f>'Daily Energy'!E305</f>
        <v>19.899999999999999</v>
      </c>
      <c r="F305" s="34">
        <f>'Daily Energy'!F305</f>
        <v>12152</v>
      </c>
      <c r="G305" s="34">
        <f>'Daily Energy'!G305</f>
        <v>1990</v>
      </c>
      <c r="H305" s="34">
        <f t="shared" si="32"/>
        <v>14142</v>
      </c>
      <c r="I305" s="36">
        <f t="shared" si="33"/>
        <v>46023</v>
      </c>
      <c r="J305" s="34" t="str">
        <f t="shared" si="34"/>
        <v/>
      </c>
      <c r="K305" s="34">
        <f t="shared" si="35"/>
        <v>14142</v>
      </c>
      <c r="L305" s="33">
        <f>IF(AND(C305="No",H305&gt;'Analysis Summary'!$B$5),1,0)</f>
        <v>0</v>
      </c>
      <c r="M305" s="33" t="str">
        <f>IF(L305=1,SUM($L$2:L305),"")</f>
        <v/>
      </c>
      <c r="N305" s="33">
        <f>IF(C305="Yes",COUNTIF($C$2:C305,"Yes"),"")</f>
        <v>261</v>
      </c>
      <c r="P305" s="37">
        <v>304</v>
      </c>
      <c r="Q305" s="32">
        <f t="shared" si="36"/>
        <v>46101</v>
      </c>
      <c r="R305" s="34">
        <f t="shared" si="37"/>
        <v>1926</v>
      </c>
      <c r="S305" s="35">
        <f t="shared" si="38"/>
        <v>25.9</v>
      </c>
      <c r="T305" s="34">
        <f t="shared" si="39"/>
        <v>14596</v>
      </c>
    </row>
    <row r="306" spans="1:20" x14ac:dyDescent="0.25">
      <c r="A306" s="32">
        <f>'Daily Energy'!A306</f>
        <v>46052</v>
      </c>
      <c r="B306" s="33" t="str">
        <f>'Daily Energy'!B306</f>
        <v>Friday</v>
      </c>
      <c r="C306" s="33" t="str">
        <f>'Daily Energy'!C306</f>
        <v>Yes</v>
      </c>
      <c r="D306" s="34">
        <f>'Daily Energy'!D306</f>
        <v>1742</v>
      </c>
      <c r="E306" s="35">
        <f>'Daily Energy'!E306</f>
        <v>22.4</v>
      </c>
      <c r="F306" s="34">
        <f>'Daily Energy'!F306</f>
        <v>11928</v>
      </c>
      <c r="G306" s="34">
        <f>'Daily Energy'!G306</f>
        <v>1249</v>
      </c>
      <c r="H306" s="34">
        <f t="shared" si="32"/>
        <v>13177</v>
      </c>
      <c r="I306" s="36">
        <f t="shared" si="33"/>
        <v>46023</v>
      </c>
      <c r="J306" s="34" t="str">
        <f t="shared" si="34"/>
        <v/>
      </c>
      <c r="K306" s="34">
        <f t="shared" si="35"/>
        <v>13177</v>
      </c>
      <c r="L306" s="33">
        <f>IF(AND(C306="No",H306&gt;'Analysis Summary'!$B$5),1,0)</f>
        <v>0</v>
      </c>
      <c r="M306" s="33" t="str">
        <f>IF(L306=1,SUM($L$2:L306),"")</f>
        <v/>
      </c>
      <c r="N306" s="33">
        <f>IF(C306="Yes",COUNTIF($C$2:C306,"Yes"),"")</f>
        <v>262</v>
      </c>
      <c r="P306" s="37">
        <v>305</v>
      </c>
      <c r="Q306" s="32">
        <f t="shared" si="36"/>
        <v>46102</v>
      </c>
      <c r="R306" s="34">
        <f t="shared" si="37"/>
        <v>1924</v>
      </c>
      <c r="S306" s="35">
        <f t="shared" si="38"/>
        <v>23.9</v>
      </c>
      <c r="T306" s="34">
        <f t="shared" si="39"/>
        <v>14300</v>
      </c>
    </row>
    <row r="307" spans="1:20" x14ac:dyDescent="0.25">
      <c r="A307" s="32">
        <f>'Daily Energy'!A307</f>
        <v>46053</v>
      </c>
      <c r="B307" s="33" t="str">
        <f>'Daily Energy'!B307</f>
        <v>Saturday</v>
      </c>
      <c r="C307" s="33" t="str">
        <f>'Daily Energy'!C307</f>
        <v>Yes</v>
      </c>
      <c r="D307" s="34">
        <f>'Daily Energy'!D307</f>
        <v>1495</v>
      </c>
      <c r="E307" s="35">
        <f>'Daily Energy'!E307</f>
        <v>21.4</v>
      </c>
      <c r="F307" s="34">
        <f>'Daily Energy'!F307</f>
        <v>9755</v>
      </c>
      <c r="G307" s="34">
        <f>'Daily Energy'!G307</f>
        <v>1422</v>
      </c>
      <c r="H307" s="34">
        <f t="shared" si="32"/>
        <v>11177</v>
      </c>
      <c r="I307" s="36">
        <f t="shared" si="33"/>
        <v>46023</v>
      </c>
      <c r="J307" s="34" t="str">
        <f t="shared" si="34"/>
        <v/>
      </c>
      <c r="K307" s="34">
        <f t="shared" si="35"/>
        <v>11177</v>
      </c>
      <c r="L307" s="33">
        <f>IF(AND(C307="No",H307&gt;'Analysis Summary'!$B$5),1,0)</f>
        <v>0</v>
      </c>
      <c r="M307" s="33" t="str">
        <f>IF(L307=1,SUM($L$2:L307),"")</f>
        <v/>
      </c>
      <c r="N307" s="33">
        <f>IF(C307="Yes",COUNTIF($C$2:C307,"Yes"),"")</f>
        <v>263</v>
      </c>
      <c r="P307" s="37">
        <v>306</v>
      </c>
      <c r="Q307" s="32">
        <f t="shared" si="36"/>
        <v>46104</v>
      </c>
      <c r="R307" s="34">
        <f t="shared" si="37"/>
        <v>1989</v>
      </c>
      <c r="S307" s="35">
        <f t="shared" si="38"/>
        <v>27.2</v>
      </c>
      <c r="T307" s="34">
        <f t="shared" si="39"/>
        <v>14714</v>
      </c>
    </row>
    <row r="308" spans="1:20" x14ac:dyDescent="0.25">
      <c r="A308" s="32">
        <f>'Daily Energy'!A308</f>
        <v>46054</v>
      </c>
      <c r="B308" s="33" t="str">
        <f>'Daily Energy'!B308</f>
        <v>Sunday</v>
      </c>
      <c r="C308" s="33" t="str">
        <f>'Daily Energy'!C308</f>
        <v>No</v>
      </c>
      <c r="D308" s="34">
        <f>'Daily Energy'!D308</f>
        <v>0</v>
      </c>
      <c r="E308" s="35">
        <f>'Daily Energy'!E308</f>
        <v>19.8</v>
      </c>
      <c r="F308" s="34">
        <f>'Daily Energy'!F308</f>
        <v>2288</v>
      </c>
      <c r="G308" s="34">
        <f>'Daily Energy'!G308</f>
        <v>1523</v>
      </c>
      <c r="H308" s="34">
        <f t="shared" si="32"/>
        <v>3811</v>
      </c>
      <c r="I308" s="36">
        <f t="shared" si="33"/>
        <v>46054</v>
      </c>
      <c r="J308" s="34">
        <f t="shared" si="34"/>
        <v>3811</v>
      </c>
      <c r="K308" s="34" t="str">
        <f t="shared" si="35"/>
        <v/>
      </c>
      <c r="L308" s="33">
        <f>IF(AND(C308="No",H308&gt;'Analysis Summary'!$B$5),1,0)</f>
        <v>0</v>
      </c>
      <c r="M308" s="33" t="str">
        <f>IF(L308=1,SUM($L$2:L308),"")</f>
        <v/>
      </c>
      <c r="N308" s="33" t="str">
        <f>IF(C308="Yes",COUNTIF($C$2:C308,"Yes"),"")</f>
        <v/>
      </c>
      <c r="P308" s="37">
        <v>307</v>
      </c>
      <c r="Q308" s="32">
        <f t="shared" si="36"/>
        <v>46105</v>
      </c>
      <c r="R308" s="34">
        <f t="shared" si="37"/>
        <v>1568</v>
      </c>
      <c r="S308" s="35">
        <f t="shared" si="38"/>
        <v>26</v>
      </c>
      <c r="T308" s="34">
        <f t="shared" si="39"/>
        <v>12064</v>
      </c>
    </row>
    <row r="309" spans="1:20" x14ac:dyDescent="0.25">
      <c r="A309" s="32">
        <f>'Daily Energy'!A309</f>
        <v>46055</v>
      </c>
      <c r="B309" s="33" t="str">
        <f>'Daily Energy'!B309</f>
        <v>Monday</v>
      </c>
      <c r="C309" s="33" t="str">
        <f>'Daily Energy'!C309</f>
        <v>Yes</v>
      </c>
      <c r="D309" s="34">
        <f>'Daily Energy'!D309</f>
        <v>1802</v>
      </c>
      <c r="E309" s="35">
        <f>'Daily Energy'!E309</f>
        <v>20.7</v>
      </c>
      <c r="F309" s="34">
        <f>'Daily Energy'!F309</f>
        <v>11565</v>
      </c>
      <c r="G309" s="34">
        <f>'Daily Energy'!G309</f>
        <v>1861</v>
      </c>
      <c r="H309" s="34">
        <f t="shared" si="32"/>
        <v>13426</v>
      </c>
      <c r="I309" s="36">
        <f t="shared" si="33"/>
        <v>46054</v>
      </c>
      <c r="J309" s="34" t="str">
        <f t="shared" si="34"/>
        <v/>
      </c>
      <c r="K309" s="34">
        <f t="shared" si="35"/>
        <v>13426</v>
      </c>
      <c r="L309" s="33">
        <f>IF(AND(C309="No",H309&gt;'Analysis Summary'!$B$5),1,0)</f>
        <v>0</v>
      </c>
      <c r="M309" s="33" t="str">
        <f>IF(L309=1,SUM($L$2:L309),"")</f>
        <v/>
      </c>
      <c r="N309" s="33">
        <f>IF(C309="Yes",COUNTIF($C$2:C309,"Yes"),"")</f>
        <v>264</v>
      </c>
      <c r="P309" s="37">
        <v>308</v>
      </c>
      <c r="Q309" s="32">
        <f t="shared" si="36"/>
        <v>46106</v>
      </c>
      <c r="R309" s="34">
        <f t="shared" si="37"/>
        <v>2049</v>
      </c>
      <c r="S309" s="35">
        <f t="shared" si="38"/>
        <v>25.3</v>
      </c>
      <c r="T309" s="34">
        <f t="shared" si="39"/>
        <v>14781</v>
      </c>
    </row>
    <row r="310" spans="1:20" x14ac:dyDescent="0.25">
      <c r="A310" s="32">
        <f>'Daily Energy'!A310</f>
        <v>46056</v>
      </c>
      <c r="B310" s="33" t="str">
        <f>'Daily Energy'!B310</f>
        <v>Tuesday</v>
      </c>
      <c r="C310" s="33" t="str">
        <f>'Daily Energy'!C310</f>
        <v>Yes</v>
      </c>
      <c r="D310" s="34">
        <f>'Daily Energy'!D310</f>
        <v>1539</v>
      </c>
      <c r="E310" s="35">
        <f>'Daily Energy'!E310</f>
        <v>19.7</v>
      </c>
      <c r="F310" s="34">
        <f>'Daily Energy'!F310</f>
        <v>9882</v>
      </c>
      <c r="G310" s="34">
        <f>'Daily Energy'!G310</f>
        <v>1408</v>
      </c>
      <c r="H310" s="34">
        <f t="shared" si="32"/>
        <v>11290</v>
      </c>
      <c r="I310" s="36">
        <f t="shared" si="33"/>
        <v>46054</v>
      </c>
      <c r="J310" s="34" t="str">
        <f t="shared" si="34"/>
        <v/>
      </c>
      <c r="K310" s="34">
        <f t="shared" si="35"/>
        <v>11290</v>
      </c>
      <c r="L310" s="33">
        <f>IF(AND(C310="No",H310&gt;'Analysis Summary'!$B$5),1,0)</f>
        <v>0</v>
      </c>
      <c r="M310" s="33" t="str">
        <f>IF(L310=1,SUM($L$2:L310),"")</f>
        <v/>
      </c>
      <c r="N310" s="33">
        <f>IF(C310="Yes",COUNTIF($C$2:C310,"Yes"),"")</f>
        <v>265</v>
      </c>
      <c r="P310" s="37">
        <v>309</v>
      </c>
      <c r="Q310" s="32">
        <f t="shared" si="36"/>
        <v>46107</v>
      </c>
      <c r="R310" s="34">
        <f t="shared" si="37"/>
        <v>1920</v>
      </c>
      <c r="S310" s="35">
        <f t="shared" si="38"/>
        <v>28.4</v>
      </c>
      <c r="T310" s="34">
        <f t="shared" si="39"/>
        <v>14337</v>
      </c>
    </row>
    <row r="311" spans="1:20" x14ac:dyDescent="0.25">
      <c r="A311" s="32">
        <f>'Daily Energy'!A311</f>
        <v>46057</v>
      </c>
      <c r="B311" s="33" t="str">
        <f>'Daily Energy'!B311</f>
        <v>Wednesday</v>
      </c>
      <c r="C311" s="33" t="str">
        <f>'Daily Energy'!C311</f>
        <v>Yes</v>
      </c>
      <c r="D311" s="34">
        <f>'Daily Energy'!D311</f>
        <v>1631</v>
      </c>
      <c r="E311" s="35">
        <f>'Daily Energy'!E311</f>
        <v>22.2</v>
      </c>
      <c r="F311" s="34">
        <f>'Daily Energy'!F311</f>
        <v>11349</v>
      </c>
      <c r="G311" s="34">
        <f>'Daily Energy'!G311</f>
        <v>1539</v>
      </c>
      <c r="H311" s="34">
        <f t="shared" si="32"/>
        <v>12888</v>
      </c>
      <c r="I311" s="36">
        <f t="shared" si="33"/>
        <v>46054</v>
      </c>
      <c r="J311" s="34" t="str">
        <f t="shared" si="34"/>
        <v/>
      </c>
      <c r="K311" s="34">
        <f t="shared" si="35"/>
        <v>12888</v>
      </c>
      <c r="L311" s="33">
        <f>IF(AND(C311="No",H311&gt;'Analysis Summary'!$B$5),1,0)</f>
        <v>0</v>
      </c>
      <c r="M311" s="33" t="str">
        <f>IF(L311=1,SUM($L$2:L311),"")</f>
        <v/>
      </c>
      <c r="N311" s="33">
        <f>IF(C311="Yes",COUNTIF($C$2:C311,"Yes"),"")</f>
        <v>266</v>
      </c>
      <c r="P311" s="37">
        <v>310</v>
      </c>
      <c r="Q311" s="32">
        <f t="shared" si="36"/>
        <v>46108</v>
      </c>
      <c r="R311" s="34">
        <f t="shared" si="37"/>
        <v>1719</v>
      </c>
      <c r="S311" s="35">
        <f t="shared" si="38"/>
        <v>25.6</v>
      </c>
      <c r="T311" s="34">
        <f t="shared" si="39"/>
        <v>13341</v>
      </c>
    </row>
    <row r="312" spans="1:20" x14ac:dyDescent="0.25">
      <c r="A312" s="32">
        <f>'Daily Energy'!A312</f>
        <v>46058</v>
      </c>
      <c r="B312" s="33" t="str">
        <f>'Daily Energy'!B312</f>
        <v>Thursday</v>
      </c>
      <c r="C312" s="33" t="str">
        <f>'Daily Energy'!C312</f>
        <v>Yes</v>
      </c>
      <c r="D312" s="34">
        <f>'Daily Energy'!D312</f>
        <v>1887</v>
      </c>
      <c r="E312" s="35">
        <f>'Daily Energy'!E312</f>
        <v>19.100000000000001</v>
      </c>
      <c r="F312" s="34">
        <f>'Daily Energy'!F312</f>
        <v>12041</v>
      </c>
      <c r="G312" s="34">
        <f>'Daily Energy'!G312</f>
        <v>1837</v>
      </c>
      <c r="H312" s="34">
        <f t="shared" si="32"/>
        <v>13878</v>
      </c>
      <c r="I312" s="36">
        <f t="shared" si="33"/>
        <v>46054</v>
      </c>
      <c r="J312" s="34" t="str">
        <f t="shared" si="34"/>
        <v/>
      </c>
      <c r="K312" s="34">
        <f t="shared" si="35"/>
        <v>13878</v>
      </c>
      <c r="L312" s="33">
        <f>IF(AND(C312="No",H312&gt;'Analysis Summary'!$B$5),1,0)</f>
        <v>0</v>
      </c>
      <c r="M312" s="33" t="str">
        <f>IF(L312=1,SUM($L$2:L312),"")</f>
        <v/>
      </c>
      <c r="N312" s="33">
        <f>IF(C312="Yes",COUNTIF($C$2:C312,"Yes"),"")</f>
        <v>267</v>
      </c>
      <c r="P312" s="37">
        <v>311</v>
      </c>
      <c r="Q312" s="32">
        <f t="shared" si="36"/>
        <v>46109</v>
      </c>
      <c r="R312" s="34">
        <f t="shared" si="37"/>
        <v>1648</v>
      </c>
      <c r="S312" s="35">
        <f t="shared" si="38"/>
        <v>24.3</v>
      </c>
      <c r="T312" s="34">
        <f t="shared" si="39"/>
        <v>12314</v>
      </c>
    </row>
    <row r="313" spans="1:20" x14ac:dyDescent="0.25">
      <c r="A313" s="32">
        <f>'Daily Energy'!A313</f>
        <v>46059</v>
      </c>
      <c r="B313" s="33" t="str">
        <f>'Daily Energy'!B313</f>
        <v>Friday</v>
      </c>
      <c r="C313" s="33" t="str">
        <f>'Daily Energy'!C313</f>
        <v>Yes</v>
      </c>
      <c r="D313" s="34">
        <f>'Daily Energy'!D313</f>
        <v>1821</v>
      </c>
      <c r="E313" s="35">
        <f>'Daily Energy'!E313</f>
        <v>21.3</v>
      </c>
      <c r="F313" s="34">
        <f>'Daily Energy'!F313</f>
        <v>12455</v>
      </c>
      <c r="G313" s="34">
        <f>'Daily Energy'!G313</f>
        <v>1868</v>
      </c>
      <c r="H313" s="34">
        <f t="shared" si="32"/>
        <v>14323</v>
      </c>
      <c r="I313" s="36">
        <f t="shared" si="33"/>
        <v>46054</v>
      </c>
      <c r="J313" s="34" t="str">
        <f t="shared" si="34"/>
        <v/>
      </c>
      <c r="K313" s="34">
        <f t="shared" si="35"/>
        <v>14323</v>
      </c>
      <c r="L313" s="33">
        <f>IF(AND(C313="No",H313&gt;'Analysis Summary'!$B$5),1,0)</f>
        <v>0</v>
      </c>
      <c r="M313" s="33" t="str">
        <f>IF(L313=1,SUM($L$2:L313),"")</f>
        <v/>
      </c>
      <c r="N313" s="33">
        <f>IF(C313="Yes",COUNTIF($C$2:C313,"Yes"),"")</f>
        <v>268</v>
      </c>
      <c r="P313" s="37">
        <v>312</v>
      </c>
      <c r="Q313" s="32">
        <f t="shared" si="36"/>
        <v>46111</v>
      </c>
      <c r="R313" s="34">
        <f t="shared" si="37"/>
        <v>1795</v>
      </c>
      <c r="S313" s="35">
        <f t="shared" si="38"/>
        <v>24</v>
      </c>
      <c r="T313" s="34">
        <f t="shared" si="39"/>
        <v>13468</v>
      </c>
    </row>
    <row r="314" spans="1:20" x14ac:dyDescent="0.25">
      <c r="A314" s="32">
        <f>'Daily Energy'!A314</f>
        <v>46060</v>
      </c>
      <c r="B314" s="33" t="str">
        <f>'Daily Energy'!B314</f>
        <v>Saturday</v>
      </c>
      <c r="C314" s="33" t="str">
        <f>'Daily Energy'!C314</f>
        <v>Yes</v>
      </c>
      <c r="D314" s="34">
        <f>'Daily Energy'!D314</f>
        <v>1902</v>
      </c>
      <c r="E314" s="35">
        <f>'Daily Energy'!E314</f>
        <v>20.8</v>
      </c>
      <c r="F314" s="34">
        <f>'Daily Energy'!F314</f>
        <v>12453</v>
      </c>
      <c r="G314" s="34">
        <f>'Daily Energy'!G314</f>
        <v>1556</v>
      </c>
      <c r="H314" s="34">
        <f t="shared" si="32"/>
        <v>14009</v>
      </c>
      <c r="I314" s="36">
        <f t="shared" si="33"/>
        <v>46054</v>
      </c>
      <c r="J314" s="34" t="str">
        <f t="shared" si="34"/>
        <v/>
      </c>
      <c r="K314" s="34">
        <f t="shared" si="35"/>
        <v>14009</v>
      </c>
      <c r="L314" s="33">
        <f>IF(AND(C314="No",H314&gt;'Analysis Summary'!$B$5),1,0)</f>
        <v>0</v>
      </c>
      <c r="M314" s="33" t="str">
        <f>IF(L314=1,SUM($L$2:L314),"")</f>
        <v/>
      </c>
      <c r="N314" s="33">
        <f>IF(C314="Yes",COUNTIF($C$2:C314,"Yes"),"")</f>
        <v>269</v>
      </c>
      <c r="P314" s="37">
        <v>313</v>
      </c>
      <c r="Q314" s="32">
        <f t="shared" si="36"/>
        <v>46112</v>
      </c>
      <c r="R314" s="34">
        <f t="shared" si="37"/>
        <v>1853</v>
      </c>
      <c r="S314" s="35">
        <f t="shared" si="38"/>
        <v>23.7</v>
      </c>
      <c r="T314" s="34">
        <f t="shared" si="39"/>
        <v>14492</v>
      </c>
    </row>
    <row r="315" spans="1:20" x14ac:dyDescent="0.25">
      <c r="A315" s="32">
        <f>'Daily Energy'!A315</f>
        <v>46061</v>
      </c>
      <c r="B315" s="33" t="str">
        <f>'Daily Energy'!B315</f>
        <v>Sunday</v>
      </c>
      <c r="C315" s="33" t="str">
        <f>'Daily Energy'!C315</f>
        <v>No</v>
      </c>
      <c r="D315" s="34">
        <f>'Daily Energy'!D315</f>
        <v>0</v>
      </c>
      <c r="E315" s="35">
        <f>'Daily Energy'!E315</f>
        <v>19.8</v>
      </c>
      <c r="F315" s="34">
        <f>'Daily Energy'!F315</f>
        <v>2469</v>
      </c>
      <c r="G315" s="34">
        <f>'Daily Energy'!G315</f>
        <v>1873</v>
      </c>
      <c r="H315" s="34">
        <f t="shared" si="32"/>
        <v>4342</v>
      </c>
      <c r="I315" s="36">
        <f t="shared" si="33"/>
        <v>46054</v>
      </c>
      <c r="J315" s="34">
        <f t="shared" si="34"/>
        <v>4342</v>
      </c>
      <c r="K315" s="34" t="str">
        <f t="shared" si="35"/>
        <v/>
      </c>
      <c r="L315" s="33">
        <f>IF(AND(C315="No",H315&gt;'Analysis Summary'!$B$5),1,0)</f>
        <v>0</v>
      </c>
      <c r="M315" s="33" t="str">
        <f>IF(L315=1,SUM($L$2:L315),"")</f>
        <v/>
      </c>
      <c r="N315" s="33" t="str">
        <f>IF(C315="Yes",COUNTIF($C$2:C315,"Yes"),"")</f>
        <v/>
      </c>
    </row>
    <row r="316" spans="1:20" x14ac:dyDescent="0.25">
      <c r="A316" s="32">
        <f>'Daily Energy'!A316</f>
        <v>46062</v>
      </c>
      <c r="B316" s="33" t="str">
        <f>'Daily Energy'!B316</f>
        <v>Monday</v>
      </c>
      <c r="C316" s="33" t="str">
        <f>'Daily Energy'!C316</f>
        <v>Yes</v>
      </c>
      <c r="D316" s="34">
        <f>'Daily Energy'!D316</f>
        <v>1892</v>
      </c>
      <c r="E316" s="35">
        <f>'Daily Energy'!E316</f>
        <v>20.7</v>
      </c>
      <c r="F316" s="34">
        <f>'Daily Energy'!F316</f>
        <v>12287</v>
      </c>
      <c r="G316" s="34">
        <f>'Daily Energy'!G316</f>
        <v>1733</v>
      </c>
      <c r="H316" s="34">
        <f t="shared" si="32"/>
        <v>14020</v>
      </c>
      <c r="I316" s="36">
        <f t="shared" si="33"/>
        <v>46054</v>
      </c>
      <c r="J316" s="34" t="str">
        <f t="shared" si="34"/>
        <v/>
      </c>
      <c r="K316" s="34">
        <f t="shared" si="35"/>
        <v>14020</v>
      </c>
      <c r="L316" s="33">
        <f>IF(AND(C316="No",H316&gt;'Analysis Summary'!$B$5),1,0)</f>
        <v>0</v>
      </c>
      <c r="M316" s="33" t="str">
        <f>IF(L316=1,SUM($L$2:L316),"")</f>
        <v/>
      </c>
      <c r="N316" s="33">
        <f>IF(C316="Yes",COUNTIF($C$2:C316,"Yes"),"")</f>
        <v>270</v>
      </c>
    </row>
    <row r="317" spans="1:20" x14ac:dyDescent="0.25">
      <c r="A317" s="32">
        <f>'Daily Energy'!A317</f>
        <v>46063</v>
      </c>
      <c r="B317" s="33" t="str">
        <f>'Daily Energy'!B317</f>
        <v>Tuesday</v>
      </c>
      <c r="C317" s="33" t="str">
        <f>'Daily Energy'!C317</f>
        <v>Yes</v>
      </c>
      <c r="D317" s="34">
        <f>'Daily Energy'!D317</f>
        <v>1772</v>
      </c>
      <c r="E317" s="35">
        <f>'Daily Energy'!E317</f>
        <v>20.399999999999999</v>
      </c>
      <c r="F317" s="34">
        <f>'Daily Energy'!F317</f>
        <v>12155</v>
      </c>
      <c r="G317" s="34">
        <f>'Daily Energy'!G317</f>
        <v>1711</v>
      </c>
      <c r="H317" s="34">
        <f t="shared" si="32"/>
        <v>13866</v>
      </c>
      <c r="I317" s="36">
        <f t="shared" si="33"/>
        <v>46054</v>
      </c>
      <c r="J317" s="34" t="str">
        <f t="shared" si="34"/>
        <v/>
      </c>
      <c r="K317" s="34">
        <f t="shared" si="35"/>
        <v>13866</v>
      </c>
      <c r="L317" s="33">
        <f>IF(AND(C317="No",H317&gt;'Analysis Summary'!$B$5),1,0)</f>
        <v>0</v>
      </c>
      <c r="M317" s="33" t="str">
        <f>IF(L317=1,SUM($L$2:L317),"")</f>
        <v/>
      </c>
      <c r="N317" s="33">
        <f>IF(C317="Yes",COUNTIF($C$2:C317,"Yes"),"")</f>
        <v>271</v>
      </c>
    </row>
    <row r="318" spans="1:20" x14ac:dyDescent="0.25">
      <c r="A318" s="32">
        <f>'Daily Energy'!A318</f>
        <v>46064</v>
      </c>
      <c r="B318" s="33" t="str">
        <f>'Daily Energy'!B318</f>
        <v>Wednesday</v>
      </c>
      <c r="C318" s="33" t="str">
        <f>'Daily Energy'!C318</f>
        <v>Yes</v>
      </c>
      <c r="D318" s="34">
        <f>'Daily Energy'!D318</f>
        <v>1640</v>
      </c>
      <c r="E318" s="35">
        <f>'Daily Energy'!E318</f>
        <v>18.399999999999999</v>
      </c>
      <c r="F318" s="34">
        <f>'Daily Energy'!F318</f>
        <v>10551</v>
      </c>
      <c r="G318" s="34">
        <f>'Daily Energy'!G318</f>
        <v>1940</v>
      </c>
      <c r="H318" s="34">
        <f t="shared" si="32"/>
        <v>12491</v>
      </c>
      <c r="I318" s="36">
        <f t="shared" si="33"/>
        <v>46054</v>
      </c>
      <c r="J318" s="34" t="str">
        <f t="shared" si="34"/>
        <v/>
      </c>
      <c r="K318" s="34">
        <f t="shared" si="35"/>
        <v>12491</v>
      </c>
      <c r="L318" s="33">
        <f>IF(AND(C318="No",H318&gt;'Analysis Summary'!$B$5),1,0)</f>
        <v>0</v>
      </c>
      <c r="M318" s="33" t="str">
        <f>IF(L318=1,SUM($L$2:L318),"")</f>
        <v/>
      </c>
      <c r="N318" s="33">
        <f>IF(C318="Yes",COUNTIF($C$2:C318,"Yes"),"")</f>
        <v>272</v>
      </c>
    </row>
    <row r="319" spans="1:20" x14ac:dyDescent="0.25">
      <c r="A319" s="32">
        <f>'Daily Energy'!A319</f>
        <v>46065</v>
      </c>
      <c r="B319" s="33" t="str">
        <f>'Daily Energy'!B319</f>
        <v>Thursday</v>
      </c>
      <c r="C319" s="33" t="str">
        <f>'Daily Energy'!C319</f>
        <v>Yes</v>
      </c>
      <c r="D319" s="34">
        <f>'Daily Energy'!D319</f>
        <v>1865</v>
      </c>
      <c r="E319" s="35">
        <f>'Daily Energy'!E319</f>
        <v>23.2</v>
      </c>
      <c r="F319" s="34">
        <f>'Daily Energy'!F319</f>
        <v>12432</v>
      </c>
      <c r="G319" s="34">
        <f>'Daily Energy'!G319</f>
        <v>1693</v>
      </c>
      <c r="H319" s="34">
        <f t="shared" si="32"/>
        <v>14125</v>
      </c>
      <c r="I319" s="36">
        <f t="shared" si="33"/>
        <v>46054</v>
      </c>
      <c r="J319" s="34" t="str">
        <f t="shared" si="34"/>
        <v/>
      </c>
      <c r="K319" s="34">
        <f t="shared" si="35"/>
        <v>14125</v>
      </c>
      <c r="L319" s="33">
        <f>IF(AND(C319="No",H319&gt;'Analysis Summary'!$B$5),1,0)</f>
        <v>0</v>
      </c>
      <c r="M319" s="33" t="str">
        <f>IF(L319=1,SUM($L$2:L319),"")</f>
        <v/>
      </c>
      <c r="N319" s="33">
        <f>IF(C319="Yes",COUNTIF($C$2:C319,"Yes"),"")</f>
        <v>273</v>
      </c>
    </row>
    <row r="320" spans="1:20" x14ac:dyDescent="0.25">
      <c r="A320" s="32">
        <f>'Daily Energy'!A320</f>
        <v>46066</v>
      </c>
      <c r="B320" s="33" t="str">
        <f>'Daily Energy'!B320</f>
        <v>Friday</v>
      </c>
      <c r="C320" s="33" t="str">
        <f>'Daily Energy'!C320</f>
        <v>Yes</v>
      </c>
      <c r="D320" s="34">
        <f>'Daily Energy'!D320</f>
        <v>1783</v>
      </c>
      <c r="E320" s="35">
        <f>'Daily Energy'!E320</f>
        <v>20.9</v>
      </c>
      <c r="F320" s="34">
        <f>'Daily Energy'!F320</f>
        <v>11550</v>
      </c>
      <c r="G320" s="34">
        <f>'Daily Energy'!G320</f>
        <v>1790</v>
      </c>
      <c r="H320" s="34">
        <f t="shared" si="32"/>
        <v>13340</v>
      </c>
      <c r="I320" s="36">
        <f t="shared" si="33"/>
        <v>46054</v>
      </c>
      <c r="J320" s="34" t="str">
        <f t="shared" si="34"/>
        <v/>
      </c>
      <c r="K320" s="34">
        <f t="shared" si="35"/>
        <v>13340</v>
      </c>
      <c r="L320" s="33">
        <f>IF(AND(C320="No",H320&gt;'Analysis Summary'!$B$5),1,0)</f>
        <v>0</v>
      </c>
      <c r="M320" s="33" t="str">
        <f>IF(L320=1,SUM($L$2:L320),"")</f>
        <v/>
      </c>
      <c r="N320" s="33">
        <f>IF(C320="Yes",COUNTIF($C$2:C320,"Yes"),"")</f>
        <v>274</v>
      </c>
    </row>
    <row r="321" spans="1:14" x14ac:dyDescent="0.25">
      <c r="A321" s="32">
        <f>'Daily Energy'!A321</f>
        <v>46067</v>
      </c>
      <c r="B321" s="33" t="str">
        <f>'Daily Energy'!B321</f>
        <v>Saturday</v>
      </c>
      <c r="C321" s="33" t="str">
        <f>'Daily Energy'!C321</f>
        <v>Yes</v>
      </c>
      <c r="D321" s="34">
        <f>'Daily Energy'!D321</f>
        <v>1681</v>
      </c>
      <c r="E321" s="35">
        <f>'Daily Energy'!E321</f>
        <v>21.1</v>
      </c>
      <c r="F321" s="34">
        <f>'Daily Energy'!F321</f>
        <v>10577</v>
      </c>
      <c r="G321" s="34">
        <f>'Daily Energy'!G321</f>
        <v>1584</v>
      </c>
      <c r="H321" s="34">
        <f t="shared" si="32"/>
        <v>12161</v>
      </c>
      <c r="I321" s="36">
        <f t="shared" si="33"/>
        <v>46054</v>
      </c>
      <c r="J321" s="34" t="str">
        <f t="shared" si="34"/>
        <v/>
      </c>
      <c r="K321" s="34">
        <f t="shared" si="35"/>
        <v>12161</v>
      </c>
      <c r="L321" s="33">
        <f>IF(AND(C321="No",H321&gt;'Analysis Summary'!$B$5),1,0)</f>
        <v>0</v>
      </c>
      <c r="M321" s="33" t="str">
        <f>IF(L321=1,SUM($L$2:L321),"")</f>
        <v/>
      </c>
      <c r="N321" s="33">
        <f>IF(C321="Yes",COUNTIF($C$2:C321,"Yes"),"")</f>
        <v>275</v>
      </c>
    </row>
    <row r="322" spans="1:14" x14ac:dyDescent="0.25">
      <c r="A322" s="32">
        <f>'Daily Energy'!A322</f>
        <v>46068</v>
      </c>
      <c r="B322" s="33" t="str">
        <f>'Daily Energy'!B322</f>
        <v>Sunday</v>
      </c>
      <c r="C322" s="33" t="str">
        <f>'Daily Energy'!C322</f>
        <v>No</v>
      </c>
      <c r="D322" s="34">
        <f>'Daily Energy'!D322</f>
        <v>0</v>
      </c>
      <c r="E322" s="35">
        <f>'Daily Energy'!E322</f>
        <v>22.5</v>
      </c>
      <c r="F322" s="34">
        <f>'Daily Energy'!F322</f>
        <v>2377</v>
      </c>
      <c r="G322" s="34">
        <f>'Daily Energy'!G322</f>
        <v>1377</v>
      </c>
      <c r="H322" s="34">
        <f t="shared" ref="H322:H366" si="40">F322+G322</f>
        <v>3754</v>
      </c>
      <c r="I322" s="36">
        <f t="shared" ref="I322:I366" si="41">DATE(YEAR(A322),MONTH(A322),1)</f>
        <v>46054</v>
      </c>
      <c r="J322" s="34">
        <f t="shared" ref="J322:J366" si="42">IF(C322="No",H322,"")</f>
        <v>3754</v>
      </c>
      <c r="K322" s="34" t="str">
        <f t="shared" ref="K322:K366" si="43">IF(C322="Yes",H322,"")</f>
        <v/>
      </c>
      <c r="L322" s="33">
        <f>IF(AND(C322="No",H322&gt;'Analysis Summary'!$B$5),1,0)</f>
        <v>0</v>
      </c>
      <c r="M322" s="33" t="str">
        <f>IF(L322=1,SUM($L$2:L322),"")</f>
        <v/>
      </c>
      <c r="N322" s="33" t="str">
        <f>IF(C322="Yes",COUNTIF($C$2:C322,"Yes"),"")</f>
        <v/>
      </c>
    </row>
    <row r="323" spans="1:14" x14ac:dyDescent="0.25">
      <c r="A323" s="32">
        <f>'Daily Energy'!A323</f>
        <v>46069</v>
      </c>
      <c r="B323" s="33" t="str">
        <f>'Daily Energy'!B323</f>
        <v>Monday</v>
      </c>
      <c r="C323" s="33" t="str">
        <f>'Daily Energy'!C323</f>
        <v>Yes</v>
      </c>
      <c r="D323" s="34">
        <f>'Daily Energy'!D323</f>
        <v>1882</v>
      </c>
      <c r="E323" s="35">
        <f>'Daily Energy'!E323</f>
        <v>23.5</v>
      </c>
      <c r="F323" s="34">
        <f>'Daily Energy'!F323</f>
        <v>11975</v>
      </c>
      <c r="G323" s="34">
        <f>'Daily Energy'!G323</f>
        <v>1583</v>
      </c>
      <c r="H323" s="34">
        <f t="shared" si="40"/>
        <v>13558</v>
      </c>
      <c r="I323" s="36">
        <f t="shared" si="41"/>
        <v>46054</v>
      </c>
      <c r="J323" s="34" t="str">
        <f t="shared" si="42"/>
        <v/>
      </c>
      <c r="K323" s="34">
        <f t="shared" si="43"/>
        <v>13558</v>
      </c>
      <c r="L323" s="33">
        <f>IF(AND(C323="No",H323&gt;'Analysis Summary'!$B$5),1,0)</f>
        <v>0</v>
      </c>
      <c r="M323" s="33" t="str">
        <f>IF(L323=1,SUM($L$2:L323),"")</f>
        <v/>
      </c>
      <c r="N323" s="33">
        <f>IF(C323="Yes",COUNTIF($C$2:C323,"Yes"),"")</f>
        <v>276</v>
      </c>
    </row>
    <row r="324" spans="1:14" x14ac:dyDescent="0.25">
      <c r="A324" s="32">
        <f>'Daily Energy'!A324</f>
        <v>46070</v>
      </c>
      <c r="B324" s="33" t="str">
        <f>'Daily Energy'!B324</f>
        <v>Tuesday</v>
      </c>
      <c r="C324" s="33" t="str">
        <f>'Daily Energy'!C324</f>
        <v>Yes</v>
      </c>
      <c r="D324" s="34">
        <f>'Daily Energy'!D324</f>
        <v>1941</v>
      </c>
      <c r="E324" s="35">
        <f>'Daily Energy'!E324</f>
        <v>21.8</v>
      </c>
      <c r="F324" s="34">
        <f>'Daily Energy'!F324</f>
        <v>13203</v>
      </c>
      <c r="G324" s="34">
        <f>'Daily Energy'!G324</f>
        <v>1502</v>
      </c>
      <c r="H324" s="34">
        <f t="shared" si="40"/>
        <v>14705</v>
      </c>
      <c r="I324" s="36">
        <f t="shared" si="41"/>
        <v>46054</v>
      </c>
      <c r="J324" s="34" t="str">
        <f t="shared" si="42"/>
        <v/>
      </c>
      <c r="K324" s="34">
        <f t="shared" si="43"/>
        <v>14705</v>
      </c>
      <c r="L324" s="33">
        <f>IF(AND(C324="No",H324&gt;'Analysis Summary'!$B$5),1,0)</f>
        <v>0</v>
      </c>
      <c r="M324" s="33" t="str">
        <f>IF(L324=1,SUM($L$2:L324),"")</f>
        <v/>
      </c>
      <c r="N324" s="33">
        <f>IF(C324="Yes",COUNTIF($C$2:C324,"Yes"),"")</f>
        <v>277</v>
      </c>
    </row>
    <row r="325" spans="1:14" x14ac:dyDescent="0.25">
      <c r="A325" s="32">
        <f>'Daily Energy'!A325</f>
        <v>46071</v>
      </c>
      <c r="B325" s="33" t="str">
        <f>'Daily Energy'!B325</f>
        <v>Wednesday</v>
      </c>
      <c r="C325" s="33" t="str">
        <f>'Daily Energy'!C325</f>
        <v>Yes</v>
      </c>
      <c r="D325" s="34">
        <f>'Daily Energy'!D325</f>
        <v>1899</v>
      </c>
      <c r="E325" s="35">
        <f>'Daily Energy'!E325</f>
        <v>21.2</v>
      </c>
      <c r="F325" s="34">
        <f>'Daily Energy'!F325</f>
        <v>12429</v>
      </c>
      <c r="G325" s="34">
        <f>'Daily Energy'!G325</f>
        <v>1432</v>
      </c>
      <c r="H325" s="34">
        <f t="shared" si="40"/>
        <v>13861</v>
      </c>
      <c r="I325" s="36">
        <f t="shared" si="41"/>
        <v>46054</v>
      </c>
      <c r="J325" s="34" t="str">
        <f t="shared" si="42"/>
        <v/>
      </c>
      <c r="K325" s="34">
        <f t="shared" si="43"/>
        <v>13861</v>
      </c>
      <c r="L325" s="33">
        <f>IF(AND(C325="No",H325&gt;'Analysis Summary'!$B$5),1,0)</f>
        <v>0</v>
      </c>
      <c r="M325" s="33" t="str">
        <f>IF(L325=1,SUM($L$2:L325),"")</f>
        <v/>
      </c>
      <c r="N325" s="33">
        <f>IF(C325="Yes",COUNTIF($C$2:C325,"Yes"),"")</f>
        <v>278</v>
      </c>
    </row>
    <row r="326" spans="1:14" x14ac:dyDescent="0.25">
      <c r="A326" s="32">
        <f>'Daily Energy'!A326</f>
        <v>46072</v>
      </c>
      <c r="B326" s="33" t="str">
        <f>'Daily Energy'!B326</f>
        <v>Thursday</v>
      </c>
      <c r="C326" s="33" t="str">
        <f>'Daily Energy'!C326</f>
        <v>Yes</v>
      </c>
      <c r="D326" s="34">
        <f>'Daily Energy'!D326</f>
        <v>1612</v>
      </c>
      <c r="E326" s="35">
        <f>'Daily Energy'!E326</f>
        <v>21.8</v>
      </c>
      <c r="F326" s="34">
        <f>'Daily Energy'!F326</f>
        <v>10970</v>
      </c>
      <c r="G326" s="34">
        <f>'Daily Energy'!G326</f>
        <v>1261</v>
      </c>
      <c r="H326" s="34">
        <f t="shared" si="40"/>
        <v>12231</v>
      </c>
      <c r="I326" s="36">
        <f t="shared" si="41"/>
        <v>46054</v>
      </c>
      <c r="J326" s="34" t="str">
        <f t="shared" si="42"/>
        <v/>
      </c>
      <c r="K326" s="34">
        <f t="shared" si="43"/>
        <v>12231</v>
      </c>
      <c r="L326" s="33">
        <f>IF(AND(C326="No",H326&gt;'Analysis Summary'!$B$5),1,0)</f>
        <v>0</v>
      </c>
      <c r="M326" s="33" t="str">
        <f>IF(L326=1,SUM($L$2:L326),"")</f>
        <v/>
      </c>
      <c r="N326" s="33">
        <f>IF(C326="Yes",COUNTIF($C$2:C326,"Yes"),"")</f>
        <v>279</v>
      </c>
    </row>
    <row r="327" spans="1:14" x14ac:dyDescent="0.25">
      <c r="A327" s="32">
        <f>'Daily Energy'!A327</f>
        <v>46073</v>
      </c>
      <c r="B327" s="33" t="str">
        <f>'Daily Energy'!B327</f>
        <v>Friday</v>
      </c>
      <c r="C327" s="33" t="str">
        <f>'Daily Energy'!C327</f>
        <v>Yes</v>
      </c>
      <c r="D327" s="34">
        <f>'Daily Energy'!D327</f>
        <v>1857</v>
      </c>
      <c r="E327" s="35">
        <f>'Daily Energy'!E327</f>
        <v>22.4</v>
      </c>
      <c r="F327" s="34">
        <f>'Daily Energy'!F327</f>
        <v>11854</v>
      </c>
      <c r="G327" s="34">
        <f>'Daily Energy'!G327</f>
        <v>1799</v>
      </c>
      <c r="H327" s="34">
        <f t="shared" si="40"/>
        <v>13653</v>
      </c>
      <c r="I327" s="36">
        <f t="shared" si="41"/>
        <v>46054</v>
      </c>
      <c r="J327" s="34" t="str">
        <f t="shared" si="42"/>
        <v/>
      </c>
      <c r="K327" s="34">
        <f t="shared" si="43"/>
        <v>13653</v>
      </c>
      <c r="L327" s="33">
        <f>IF(AND(C327="No",H327&gt;'Analysis Summary'!$B$5),1,0)</f>
        <v>0</v>
      </c>
      <c r="M327" s="33" t="str">
        <f>IF(L327=1,SUM($L$2:L327),"")</f>
        <v/>
      </c>
      <c r="N327" s="33">
        <f>IF(C327="Yes",COUNTIF($C$2:C327,"Yes"),"")</f>
        <v>280</v>
      </c>
    </row>
    <row r="328" spans="1:14" x14ac:dyDescent="0.25">
      <c r="A328" s="32">
        <f>'Daily Energy'!A328</f>
        <v>46074</v>
      </c>
      <c r="B328" s="33" t="str">
        <f>'Daily Energy'!B328</f>
        <v>Saturday</v>
      </c>
      <c r="C328" s="33" t="str">
        <f>'Daily Energy'!C328</f>
        <v>Yes</v>
      </c>
      <c r="D328" s="34">
        <f>'Daily Energy'!D328</f>
        <v>1781</v>
      </c>
      <c r="E328" s="35">
        <f>'Daily Energy'!E328</f>
        <v>22.4</v>
      </c>
      <c r="F328" s="34">
        <f>'Daily Energy'!F328</f>
        <v>11749</v>
      </c>
      <c r="G328" s="34">
        <f>'Daily Energy'!G328</f>
        <v>1852</v>
      </c>
      <c r="H328" s="34">
        <f t="shared" si="40"/>
        <v>13601</v>
      </c>
      <c r="I328" s="36">
        <f t="shared" si="41"/>
        <v>46054</v>
      </c>
      <c r="J328" s="34" t="str">
        <f t="shared" si="42"/>
        <v/>
      </c>
      <c r="K328" s="34">
        <f t="shared" si="43"/>
        <v>13601</v>
      </c>
      <c r="L328" s="33">
        <f>IF(AND(C328="No",H328&gt;'Analysis Summary'!$B$5),1,0)</f>
        <v>0</v>
      </c>
      <c r="M328" s="33" t="str">
        <f>IF(L328=1,SUM($L$2:L328),"")</f>
        <v/>
      </c>
      <c r="N328" s="33">
        <f>IF(C328="Yes",COUNTIF($C$2:C328,"Yes"),"")</f>
        <v>281</v>
      </c>
    </row>
    <row r="329" spans="1:14" x14ac:dyDescent="0.25">
      <c r="A329" s="32">
        <f>'Daily Energy'!A329</f>
        <v>46075</v>
      </c>
      <c r="B329" s="33" t="str">
        <f>'Daily Energy'!B329</f>
        <v>Sunday</v>
      </c>
      <c r="C329" s="33" t="str">
        <f>'Daily Energy'!C329</f>
        <v>No</v>
      </c>
      <c r="D329" s="34">
        <f>'Daily Energy'!D329</f>
        <v>0</v>
      </c>
      <c r="E329" s="35">
        <f>'Daily Energy'!E329</f>
        <v>20.3</v>
      </c>
      <c r="F329" s="34">
        <f>'Daily Energy'!F329</f>
        <v>2603</v>
      </c>
      <c r="G329" s="34">
        <f>'Daily Energy'!G329</f>
        <v>1541</v>
      </c>
      <c r="H329" s="34">
        <f t="shared" si="40"/>
        <v>4144</v>
      </c>
      <c r="I329" s="36">
        <f t="shared" si="41"/>
        <v>46054</v>
      </c>
      <c r="J329" s="34">
        <f t="shared" si="42"/>
        <v>4144</v>
      </c>
      <c r="K329" s="34" t="str">
        <f t="shared" si="43"/>
        <v/>
      </c>
      <c r="L329" s="33">
        <f>IF(AND(C329="No",H329&gt;'Analysis Summary'!$B$5),1,0)</f>
        <v>0</v>
      </c>
      <c r="M329" s="33" t="str">
        <f>IF(L329=1,SUM($L$2:L329),"")</f>
        <v/>
      </c>
      <c r="N329" s="33" t="str">
        <f>IF(C329="Yes",COUNTIF($C$2:C329,"Yes"),"")</f>
        <v/>
      </c>
    </row>
    <row r="330" spans="1:14" x14ac:dyDescent="0.25">
      <c r="A330" s="32">
        <f>'Daily Energy'!A330</f>
        <v>46076</v>
      </c>
      <c r="B330" s="33" t="str">
        <f>'Daily Energy'!B330</f>
        <v>Monday</v>
      </c>
      <c r="C330" s="33" t="str">
        <f>'Daily Energy'!C330</f>
        <v>Yes</v>
      </c>
      <c r="D330" s="34">
        <f>'Daily Energy'!D330</f>
        <v>1937</v>
      </c>
      <c r="E330" s="35">
        <f>'Daily Energy'!E330</f>
        <v>18</v>
      </c>
      <c r="F330" s="34">
        <f>'Daily Energy'!F330</f>
        <v>12607</v>
      </c>
      <c r="G330" s="34">
        <f>'Daily Energy'!G330</f>
        <v>1541</v>
      </c>
      <c r="H330" s="34">
        <f t="shared" si="40"/>
        <v>14148</v>
      </c>
      <c r="I330" s="36">
        <f t="shared" si="41"/>
        <v>46054</v>
      </c>
      <c r="J330" s="34" t="str">
        <f t="shared" si="42"/>
        <v/>
      </c>
      <c r="K330" s="34">
        <f t="shared" si="43"/>
        <v>14148</v>
      </c>
      <c r="L330" s="33">
        <f>IF(AND(C330="No",H330&gt;'Analysis Summary'!$B$5),1,0)</f>
        <v>0</v>
      </c>
      <c r="M330" s="33" t="str">
        <f>IF(L330=1,SUM($L$2:L330),"")</f>
        <v/>
      </c>
      <c r="N330" s="33">
        <f>IF(C330="Yes",COUNTIF($C$2:C330,"Yes"),"")</f>
        <v>282</v>
      </c>
    </row>
    <row r="331" spans="1:14" x14ac:dyDescent="0.25">
      <c r="A331" s="32">
        <f>'Daily Energy'!A331</f>
        <v>46077</v>
      </c>
      <c r="B331" s="33" t="str">
        <f>'Daily Energy'!B331</f>
        <v>Tuesday</v>
      </c>
      <c r="C331" s="33" t="str">
        <f>'Daily Energy'!C331</f>
        <v>Yes</v>
      </c>
      <c r="D331" s="34">
        <f>'Daily Energy'!D331</f>
        <v>1847</v>
      </c>
      <c r="E331" s="35">
        <f>'Daily Energy'!E331</f>
        <v>22.9</v>
      </c>
      <c r="F331" s="34">
        <f>'Daily Energy'!F331</f>
        <v>12452</v>
      </c>
      <c r="G331" s="34">
        <f>'Daily Energy'!G331</f>
        <v>1672</v>
      </c>
      <c r="H331" s="34">
        <f t="shared" si="40"/>
        <v>14124</v>
      </c>
      <c r="I331" s="36">
        <f t="shared" si="41"/>
        <v>46054</v>
      </c>
      <c r="J331" s="34" t="str">
        <f t="shared" si="42"/>
        <v/>
      </c>
      <c r="K331" s="34">
        <f t="shared" si="43"/>
        <v>14124</v>
      </c>
      <c r="L331" s="33">
        <f>IF(AND(C331="No",H331&gt;'Analysis Summary'!$B$5),1,0)</f>
        <v>0</v>
      </c>
      <c r="M331" s="33" t="str">
        <f>IF(L331=1,SUM($L$2:L331),"")</f>
        <v/>
      </c>
      <c r="N331" s="33">
        <f>IF(C331="Yes",COUNTIF($C$2:C331,"Yes"),"")</f>
        <v>283</v>
      </c>
    </row>
    <row r="332" spans="1:14" x14ac:dyDescent="0.25">
      <c r="A332" s="32">
        <f>'Daily Energy'!A332</f>
        <v>46078</v>
      </c>
      <c r="B332" s="33" t="str">
        <f>'Daily Energy'!B332</f>
        <v>Wednesday</v>
      </c>
      <c r="C332" s="33" t="str">
        <f>'Daily Energy'!C332</f>
        <v>Yes</v>
      </c>
      <c r="D332" s="34">
        <f>'Daily Energy'!D332</f>
        <v>1820</v>
      </c>
      <c r="E332" s="35">
        <f>'Daily Energy'!E332</f>
        <v>22.9</v>
      </c>
      <c r="F332" s="34">
        <f>'Daily Energy'!F332</f>
        <v>11986</v>
      </c>
      <c r="G332" s="34">
        <f>'Daily Energy'!G332</f>
        <v>1376</v>
      </c>
      <c r="H332" s="34">
        <f t="shared" si="40"/>
        <v>13362</v>
      </c>
      <c r="I332" s="36">
        <f t="shared" si="41"/>
        <v>46054</v>
      </c>
      <c r="J332" s="34" t="str">
        <f t="shared" si="42"/>
        <v/>
      </c>
      <c r="K332" s="34">
        <f t="shared" si="43"/>
        <v>13362</v>
      </c>
      <c r="L332" s="33">
        <f>IF(AND(C332="No",H332&gt;'Analysis Summary'!$B$5),1,0)</f>
        <v>0</v>
      </c>
      <c r="M332" s="33" t="str">
        <f>IF(L332=1,SUM($L$2:L332),"")</f>
        <v/>
      </c>
      <c r="N332" s="33">
        <f>IF(C332="Yes",COUNTIF($C$2:C332,"Yes"),"")</f>
        <v>284</v>
      </c>
    </row>
    <row r="333" spans="1:14" x14ac:dyDescent="0.25">
      <c r="A333" s="32">
        <f>'Daily Energy'!A333</f>
        <v>46079</v>
      </c>
      <c r="B333" s="33" t="str">
        <f>'Daily Energy'!B333</f>
        <v>Thursday</v>
      </c>
      <c r="C333" s="33" t="str">
        <f>'Daily Energy'!C333</f>
        <v>Yes</v>
      </c>
      <c r="D333" s="34">
        <f>'Daily Energy'!D333</f>
        <v>1784</v>
      </c>
      <c r="E333" s="35">
        <f>'Daily Energy'!E333</f>
        <v>23.3</v>
      </c>
      <c r="F333" s="34">
        <f>'Daily Energy'!F333</f>
        <v>11651</v>
      </c>
      <c r="G333" s="34">
        <f>'Daily Energy'!G333</f>
        <v>1655</v>
      </c>
      <c r="H333" s="34">
        <f t="shared" si="40"/>
        <v>13306</v>
      </c>
      <c r="I333" s="36">
        <f t="shared" si="41"/>
        <v>46054</v>
      </c>
      <c r="J333" s="34" t="str">
        <f t="shared" si="42"/>
        <v/>
      </c>
      <c r="K333" s="34">
        <f t="shared" si="43"/>
        <v>13306</v>
      </c>
      <c r="L333" s="33">
        <f>IF(AND(C333="No",H333&gt;'Analysis Summary'!$B$5),1,0)</f>
        <v>0</v>
      </c>
      <c r="M333" s="33" t="str">
        <f>IF(L333=1,SUM($L$2:L333),"")</f>
        <v/>
      </c>
      <c r="N333" s="33">
        <f>IF(C333="Yes",COUNTIF($C$2:C333,"Yes"),"")</f>
        <v>285</v>
      </c>
    </row>
    <row r="334" spans="1:14" x14ac:dyDescent="0.25">
      <c r="A334" s="32">
        <f>'Daily Energy'!A334</f>
        <v>46080</v>
      </c>
      <c r="B334" s="33" t="str">
        <f>'Daily Energy'!B334</f>
        <v>Friday</v>
      </c>
      <c r="C334" s="33" t="str">
        <f>'Daily Energy'!C334</f>
        <v>Yes</v>
      </c>
      <c r="D334" s="34">
        <f>'Daily Energy'!D334</f>
        <v>1903</v>
      </c>
      <c r="E334" s="35">
        <f>'Daily Energy'!E334</f>
        <v>22.2</v>
      </c>
      <c r="F334" s="34">
        <f>'Daily Energy'!F334</f>
        <v>12037</v>
      </c>
      <c r="G334" s="34">
        <f>'Daily Energy'!G334</f>
        <v>1454</v>
      </c>
      <c r="H334" s="34">
        <f t="shared" si="40"/>
        <v>13491</v>
      </c>
      <c r="I334" s="36">
        <f t="shared" si="41"/>
        <v>46054</v>
      </c>
      <c r="J334" s="34" t="str">
        <f t="shared" si="42"/>
        <v/>
      </c>
      <c r="K334" s="34">
        <f t="shared" si="43"/>
        <v>13491</v>
      </c>
      <c r="L334" s="33">
        <f>IF(AND(C334="No",H334&gt;'Analysis Summary'!$B$5),1,0)</f>
        <v>0</v>
      </c>
      <c r="M334" s="33" t="str">
        <f>IF(L334=1,SUM($L$2:L334),"")</f>
        <v/>
      </c>
      <c r="N334" s="33">
        <f>IF(C334="Yes",COUNTIF($C$2:C334,"Yes"),"")</f>
        <v>286</v>
      </c>
    </row>
    <row r="335" spans="1:14" x14ac:dyDescent="0.25">
      <c r="A335" s="32">
        <f>'Daily Energy'!A335</f>
        <v>46081</v>
      </c>
      <c r="B335" s="33" t="str">
        <f>'Daily Energy'!B335</f>
        <v>Saturday</v>
      </c>
      <c r="C335" s="33" t="str">
        <f>'Daily Energy'!C335</f>
        <v>Yes</v>
      </c>
      <c r="D335" s="34">
        <f>'Daily Energy'!D335</f>
        <v>1792</v>
      </c>
      <c r="E335" s="35">
        <f>'Daily Energy'!E335</f>
        <v>22.9</v>
      </c>
      <c r="F335" s="34">
        <f>'Daily Energy'!F335</f>
        <v>11644</v>
      </c>
      <c r="G335" s="34">
        <f>'Daily Energy'!G335</f>
        <v>1523</v>
      </c>
      <c r="H335" s="34">
        <f t="shared" si="40"/>
        <v>13167</v>
      </c>
      <c r="I335" s="36">
        <f t="shared" si="41"/>
        <v>46054</v>
      </c>
      <c r="J335" s="34" t="str">
        <f t="shared" si="42"/>
        <v/>
      </c>
      <c r="K335" s="34">
        <f t="shared" si="43"/>
        <v>13167</v>
      </c>
      <c r="L335" s="33">
        <f>IF(AND(C335="No",H335&gt;'Analysis Summary'!$B$5),1,0)</f>
        <v>0</v>
      </c>
      <c r="M335" s="33" t="str">
        <f>IF(L335=1,SUM($L$2:L335),"")</f>
        <v/>
      </c>
      <c r="N335" s="33">
        <f>IF(C335="Yes",COUNTIF($C$2:C335,"Yes"),"")</f>
        <v>287</v>
      </c>
    </row>
    <row r="336" spans="1:14" x14ac:dyDescent="0.25">
      <c r="A336" s="32">
        <f>'Daily Energy'!A336</f>
        <v>46082</v>
      </c>
      <c r="B336" s="33" t="str">
        <f>'Daily Energy'!B336</f>
        <v>Sunday</v>
      </c>
      <c r="C336" s="33" t="str">
        <f>'Daily Energy'!C336</f>
        <v>No</v>
      </c>
      <c r="D336" s="34">
        <f>'Daily Energy'!D336</f>
        <v>0</v>
      </c>
      <c r="E336" s="35">
        <f>'Daily Energy'!E336</f>
        <v>22.2</v>
      </c>
      <c r="F336" s="34">
        <f>'Daily Energy'!F336</f>
        <v>2488</v>
      </c>
      <c r="G336" s="34">
        <f>'Daily Energy'!G336</f>
        <v>1922</v>
      </c>
      <c r="H336" s="34">
        <f t="shared" si="40"/>
        <v>4410</v>
      </c>
      <c r="I336" s="36">
        <f t="shared" si="41"/>
        <v>46082</v>
      </c>
      <c r="J336" s="34">
        <f t="shared" si="42"/>
        <v>4410</v>
      </c>
      <c r="K336" s="34" t="str">
        <f t="shared" si="43"/>
        <v/>
      </c>
      <c r="L336" s="33">
        <f>IF(AND(C336="No",H336&gt;'Analysis Summary'!$B$5),1,0)</f>
        <v>0</v>
      </c>
      <c r="M336" s="33" t="str">
        <f>IF(L336=1,SUM($L$2:L336),"")</f>
        <v/>
      </c>
      <c r="N336" s="33" t="str">
        <f>IF(C336="Yes",COUNTIF($C$2:C336,"Yes"),"")</f>
        <v/>
      </c>
    </row>
    <row r="337" spans="1:14" x14ac:dyDescent="0.25">
      <c r="A337" s="32">
        <f>'Daily Energy'!A337</f>
        <v>46083</v>
      </c>
      <c r="B337" s="33" t="str">
        <f>'Daily Energy'!B337</f>
        <v>Monday</v>
      </c>
      <c r="C337" s="33" t="str">
        <f>'Daily Energy'!C337</f>
        <v>Yes</v>
      </c>
      <c r="D337" s="34">
        <f>'Daily Energy'!D337</f>
        <v>1578</v>
      </c>
      <c r="E337" s="35">
        <f>'Daily Energy'!E337</f>
        <v>24.7</v>
      </c>
      <c r="F337" s="34">
        <f>'Daily Energy'!F337</f>
        <v>10591</v>
      </c>
      <c r="G337" s="34">
        <f>'Daily Energy'!G337</f>
        <v>1371</v>
      </c>
      <c r="H337" s="34">
        <f t="shared" si="40"/>
        <v>11962</v>
      </c>
      <c r="I337" s="36">
        <f t="shared" si="41"/>
        <v>46082</v>
      </c>
      <c r="J337" s="34" t="str">
        <f t="shared" si="42"/>
        <v/>
      </c>
      <c r="K337" s="34">
        <f t="shared" si="43"/>
        <v>11962</v>
      </c>
      <c r="L337" s="33">
        <f>IF(AND(C337="No",H337&gt;'Analysis Summary'!$B$5),1,0)</f>
        <v>0</v>
      </c>
      <c r="M337" s="33" t="str">
        <f>IF(L337=1,SUM($L$2:L337),"")</f>
        <v/>
      </c>
      <c r="N337" s="33">
        <f>IF(C337="Yes",COUNTIF($C$2:C337,"Yes"),"")</f>
        <v>288</v>
      </c>
    </row>
    <row r="338" spans="1:14" x14ac:dyDescent="0.25">
      <c r="A338" s="32">
        <f>'Daily Energy'!A338</f>
        <v>46084</v>
      </c>
      <c r="B338" s="33" t="str">
        <f>'Daily Energy'!B338</f>
        <v>Tuesday</v>
      </c>
      <c r="C338" s="33" t="str">
        <f>'Daily Energy'!C338</f>
        <v>Yes</v>
      </c>
      <c r="D338" s="34">
        <f>'Daily Energy'!D338</f>
        <v>1654</v>
      </c>
      <c r="E338" s="35">
        <f>'Daily Energy'!E338</f>
        <v>21.8</v>
      </c>
      <c r="F338" s="34">
        <f>'Daily Energy'!F338</f>
        <v>11075</v>
      </c>
      <c r="G338" s="34">
        <f>'Daily Energy'!G338</f>
        <v>1519</v>
      </c>
      <c r="H338" s="34">
        <f t="shared" si="40"/>
        <v>12594</v>
      </c>
      <c r="I338" s="36">
        <f t="shared" si="41"/>
        <v>46082</v>
      </c>
      <c r="J338" s="34" t="str">
        <f t="shared" si="42"/>
        <v/>
      </c>
      <c r="K338" s="34">
        <f t="shared" si="43"/>
        <v>12594</v>
      </c>
      <c r="L338" s="33">
        <f>IF(AND(C338="No",H338&gt;'Analysis Summary'!$B$5),1,0)</f>
        <v>0</v>
      </c>
      <c r="M338" s="33" t="str">
        <f>IF(L338=1,SUM($L$2:L338),"")</f>
        <v/>
      </c>
      <c r="N338" s="33">
        <f>IF(C338="Yes",COUNTIF($C$2:C338,"Yes"),"")</f>
        <v>289</v>
      </c>
    </row>
    <row r="339" spans="1:14" x14ac:dyDescent="0.25">
      <c r="A339" s="32">
        <f>'Daily Energy'!A339</f>
        <v>46085</v>
      </c>
      <c r="B339" s="33" t="str">
        <f>'Daily Energy'!B339</f>
        <v>Wednesday</v>
      </c>
      <c r="C339" s="33" t="str">
        <f>'Daily Energy'!C339</f>
        <v>Yes</v>
      </c>
      <c r="D339" s="34">
        <f>'Daily Energy'!D339</f>
        <v>1880</v>
      </c>
      <c r="E339" s="35">
        <f>'Daily Energy'!E339</f>
        <v>26.1</v>
      </c>
      <c r="F339" s="34">
        <f>'Daily Energy'!F339</f>
        <v>12481</v>
      </c>
      <c r="G339" s="34">
        <f>'Daily Energy'!G339</f>
        <v>1692</v>
      </c>
      <c r="H339" s="34">
        <f t="shared" si="40"/>
        <v>14173</v>
      </c>
      <c r="I339" s="36">
        <f t="shared" si="41"/>
        <v>46082</v>
      </c>
      <c r="J339" s="34" t="str">
        <f t="shared" si="42"/>
        <v/>
      </c>
      <c r="K339" s="34">
        <f t="shared" si="43"/>
        <v>14173</v>
      </c>
      <c r="L339" s="33">
        <f>IF(AND(C339="No",H339&gt;'Analysis Summary'!$B$5),1,0)</f>
        <v>0</v>
      </c>
      <c r="M339" s="33" t="str">
        <f>IF(L339=1,SUM($L$2:L339),"")</f>
        <v/>
      </c>
      <c r="N339" s="33">
        <f>IF(C339="Yes",COUNTIF($C$2:C339,"Yes"),"")</f>
        <v>290</v>
      </c>
    </row>
    <row r="340" spans="1:14" x14ac:dyDescent="0.25">
      <c r="A340" s="32">
        <f>'Daily Energy'!A340</f>
        <v>46086</v>
      </c>
      <c r="B340" s="33" t="str">
        <f>'Daily Energy'!B340</f>
        <v>Thursday</v>
      </c>
      <c r="C340" s="33" t="str">
        <f>'Daily Energy'!C340</f>
        <v>Yes</v>
      </c>
      <c r="D340" s="34">
        <f>'Daily Energy'!D340</f>
        <v>2035</v>
      </c>
      <c r="E340" s="35">
        <f>'Daily Energy'!E340</f>
        <v>23.1</v>
      </c>
      <c r="F340" s="34">
        <f>'Daily Energy'!F340</f>
        <v>12908</v>
      </c>
      <c r="G340" s="34">
        <f>'Daily Energy'!G340</f>
        <v>1897</v>
      </c>
      <c r="H340" s="34">
        <f t="shared" si="40"/>
        <v>14805</v>
      </c>
      <c r="I340" s="36">
        <f t="shared" si="41"/>
        <v>46082</v>
      </c>
      <c r="J340" s="34" t="str">
        <f t="shared" si="42"/>
        <v/>
      </c>
      <c r="K340" s="34">
        <f t="shared" si="43"/>
        <v>14805</v>
      </c>
      <c r="L340" s="33">
        <f>IF(AND(C340="No",H340&gt;'Analysis Summary'!$B$5),1,0)</f>
        <v>0</v>
      </c>
      <c r="M340" s="33" t="str">
        <f>IF(L340=1,SUM($L$2:L340),"")</f>
        <v/>
      </c>
      <c r="N340" s="33">
        <f>IF(C340="Yes",COUNTIF($C$2:C340,"Yes"),"")</f>
        <v>291</v>
      </c>
    </row>
    <row r="341" spans="1:14" x14ac:dyDescent="0.25">
      <c r="A341" s="32">
        <f>'Daily Energy'!A341</f>
        <v>46087</v>
      </c>
      <c r="B341" s="33" t="str">
        <f>'Daily Energy'!B341</f>
        <v>Friday</v>
      </c>
      <c r="C341" s="33" t="str">
        <f>'Daily Energy'!C341</f>
        <v>Yes</v>
      </c>
      <c r="D341" s="34">
        <f>'Daily Energy'!D341</f>
        <v>1838</v>
      </c>
      <c r="E341" s="35">
        <f>'Daily Energy'!E341</f>
        <v>22.3</v>
      </c>
      <c r="F341" s="34">
        <f>'Daily Energy'!F341</f>
        <v>12676</v>
      </c>
      <c r="G341" s="34">
        <f>'Daily Energy'!G341</f>
        <v>1825</v>
      </c>
      <c r="H341" s="34">
        <f t="shared" si="40"/>
        <v>14501</v>
      </c>
      <c r="I341" s="36">
        <f t="shared" si="41"/>
        <v>46082</v>
      </c>
      <c r="J341" s="34" t="str">
        <f t="shared" si="42"/>
        <v/>
      </c>
      <c r="K341" s="34">
        <f t="shared" si="43"/>
        <v>14501</v>
      </c>
      <c r="L341" s="33">
        <f>IF(AND(C341="No",H341&gt;'Analysis Summary'!$B$5),1,0)</f>
        <v>0</v>
      </c>
      <c r="M341" s="33" t="str">
        <f>IF(L341=1,SUM($L$2:L341),"")</f>
        <v/>
      </c>
      <c r="N341" s="33">
        <f>IF(C341="Yes",COUNTIF($C$2:C341,"Yes"),"")</f>
        <v>292</v>
      </c>
    </row>
    <row r="342" spans="1:14" x14ac:dyDescent="0.25">
      <c r="A342" s="32">
        <f>'Daily Energy'!A342</f>
        <v>46088</v>
      </c>
      <c r="B342" s="33" t="str">
        <f>'Daily Energy'!B342</f>
        <v>Saturday</v>
      </c>
      <c r="C342" s="33" t="str">
        <f>'Daily Energy'!C342</f>
        <v>Yes</v>
      </c>
      <c r="D342" s="34">
        <f>'Daily Energy'!D342</f>
        <v>1926</v>
      </c>
      <c r="E342" s="35">
        <f>'Daily Energy'!E342</f>
        <v>23.8</v>
      </c>
      <c r="F342" s="34">
        <f>'Daily Energy'!F342</f>
        <v>12887</v>
      </c>
      <c r="G342" s="34">
        <f>'Daily Energy'!G342</f>
        <v>1656</v>
      </c>
      <c r="H342" s="34">
        <f t="shared" si="40"/>
        <v>14543</v>
      </c>
      <c r="I342" s="36">
        <f t="shared" si="41"/>
        <v>46082</v>
      </c>
      <c r="J342" s="34" t="str">
        <f t="shared" si="42"/>
        <v/>
      </c>
      <c r="K342" s="34">
        <f t="shared" si="43"/>
        <v>14543</v>
      </c>
      <c r="L342" s="33">
        <f>IF(AND(C342="No",H342&gt;'Analysis Summary'!$B$5),1,0)</f>
        <v>0</v>
      </c>
      <c r="M342" s="33" t="str">
        <f>IF(L342=1,SUM($L$2:L342),"")</f>
        <v/>
      </c>
      <c r="N342" s="33">
        <f>IF(C342="Yes",COUNTIF($C$2:C342,"Yes"),"")</f>
        <v>293</v>
      </c>
    </row>
    <row r="343" spans="1:14" x14ac:dyDescent="0.25">
      <c r="A343" s="32">
        <f>'Daily Energy'!A343</f>
        <v>46089</v>
      </c>
      <c r="B343" s="33" t="str">
        <f>'Daily Energy'!B343</f>
        <v>Sunday</v>
      </c>
      <c r="C343" s="33" t="str">
        <f>'Daily Energy'!C343</f>
        <v>No</v>
      </c>
      <c r="D343" s="34">
        <f>'Daily Energy'!D343</f>
        <v>0</v>
      </c>
      <c r="E343" s="35">
        <f>'Daily Energy'!E343</f>
        <v>24</v>
      </c>
      <c r="F343" s="34">
        <f>'Daily Energy'!F343</f>
        <v>2733</v>
      </c>
      <c r="G343" s="34">
        <f>'Daily Energy'!G343</f>
        <v>1736</v>
      </c>
      <c r="H343" s="34">
        <f t="shared" si="40"/>
        <v>4469</v>
      </c>
      <c r="I343" s="36">
        <f t="shared" si="41"/>
        <v>46082</v>
      </c>
      <c r="J343" s="34">
        <f t="shared" si="42"/>
        <v>4469</v>
      </c>
      <c r="K343" s="34" t="str">
        <f t="shared" si="43"/>
        <v/>
      </c>
      <c r="L343" s="33">
        <f>IF(AND(C343="No",H343&gt;'Analysis Summary'!$B$5),1,0)</f>
        <v>0</v>
      </c>
      <c r="M343" s="33" t="str">
        <f>IF(L343=1,SUM($L$2:L343),"")</f>
        <v/>
      </c>
      <c r="N343" s="33" t="str">
        <f>IF(C343="Yes",COUNTIF($C$2:C343,"Yes"),"")</f>
        <v/>
      </c>
    </row>
    <row r="344" spans="1:14" x14ac:dyDescent="0.25">
      <c r="A344" s="32">
        <f>'Daily Energy'!A344</f>
        <v>46090</v>
      </c>
      <c r="B344" s="33" t="str">
        <f>'Daily Energy'!B344</f>
        <v>Monday</v>
      </c>
      <c r="C344" s="33" t="str">
        <f>'Daily Energy'!C344</f>
        <v>Yes</v>
      </c>
      <c r="D344" s="34">
        <f>'Daily Energy'!D344</f>
        <v>2062</v>
      </c>
      <c r="E344" s="35">
        <f>'Daily Energy'!E344</f>
        <v>24.7</v>
      </c>
      <c r="F344" s="34">
        <f>'Daily Energy'!F344</f>
        <v>12963</v>
      </c>
      <c r="G344" s="34">
        <f>'Daily Energy'!G344</f>
        <v>1591</v>
      </c>
      <c r="H344" s="34">
        <f t="shared" si="40"/>
        <v>14554</v>
      </c>
      <c r="I344" s="36">
        <f t="shared" si="41"/>
        <v>46082</v>
      </c>
      <c r="J344" s="34" t="str">
        <f t="shared" si="42"/>
        <v/>
      </c>
      <c r="K344" s="34">
        <f t="shared" si="43"/>
        <v>14554</v>
      </c>
      <c r="L344" s="33">
        <f>IF(AND(C344="No",H344&gt;'Analysis Summary'!$B$5),1,0)</f>
        <v>0</v>
      </c>
      <c r="M344" s="33" t="str">
        <f>IF(L344=1,SUM($L$2:L344),"")</f>
        <v/>
      </c>
      <c r="N344" s="33">
        <f>IF(C344="Yes",COUNTIF($C$2:C344,"Yes"),"")</f>
        <v>294</v>
      </c>
    </row>
    <row r="345" spans="1:14" x14ac:dyDescent="0.25">
      <c r="A345" s="32">
        <f>'Daily Energy'!A345</f>
        <v>46091</v>
      </c>
      <c r="B345" s="33" t="str">
        <f>'Daily Energy'!B345</f>
        <v>Tuesday</v>
      </c>
      <c r="C345" s="33" t="str">
        <f>'Daily Energy'!C345</f>
        <v>Yes</v>
      </c>
      <c r="D345" s="34">
        <f>'Daily Energy'!D345</f>
        <v>1556</v>
      </c>
      <c r="E345" s="35">
        <f>'Daily Energy'!E345</f>
        <v>24.1</v>
      </c>
      <c r="F345" s="34">
        <f>'Daily Energy'!F345</f>
        <v>10513</v>
      </c>
      <c r="G345" s="34">
        <f>'Daily Energy'!G345</f>
        <v>1764</v>
      </c>
      <c r="H345" s="34">
        <f t="shared" si="40"/>
        <v>12277</v>
      </c>
      <c r="I345" s="36">
        <f t="shared" si="41"/>
        <v>46082</v>
      </c>
      <c r="J345" s="34" t="str">
        <f t="shared" si="42"/>
        <v/>
      </c>
      <c r="K345" s="34">
        <f t="shared" si="43"/>
        <v>12277</v>
      </c>
      <c r="L345" s="33">
        <f>IF(AND(C345="No",H345&gt;'Analysis Summary'!$B$5),1,0)</f>
        <v>0</v>
      </c>
      <c r="M345" s="33" t="str">
        <f>IF(L345=1,SUM($L$2:L345),"")</f>
        <v/>
      </c>
      <c r="N345" s="33">
        <f>IF(C345="Yes",COUNTIF($C$2:C345,"Yes"),"")</f>
        <v>295</v>
      </c>
    </row>
    <row r="346" spans="1:14" x14ac:dyDescent="0.25">
      <c r="A346" s="32">
        <f>'Daily Energy'!A346</f>
        <v>46092</v>
      </c>
      <c r="B346" s="33" t="str">
        <f>'Daily Energy'!B346</f>
        <v>Wednesday</v>
      </c>
      <c r="C346" s="33" t="str">
        <f>'Daily Energy'!C346</f>
        <v>Yes</v>
      </c>
      <c r="D346" s="34">
        <f>'Daily Energy'!D346</f>
        <v>1678</v>
      </c>
      <c r="E346" s="35">
        <f>'Daily Energy'!E346</f>
        <v>22</v>
      </c>
      <c r="F346" s="34">
        <f>'Daily Energy'!F346</f>
        <v>11343</v>
      </c>
      <c r="G346" s="34">
        <f>'Daily Energy'!G346</f>
        <v>1560</v>
      </c>
      <c r="H346" s="34">
        <f t="shared" si="40"/>
        <v>12903</v>
      </c>
      <c r="I346" s="36">
        <f t="shared" si="41"/>
        <v>46082</v>
      </c>
      <c r="J346" s="34" t="str">
        <f t="shared" si="42"/>
        <v/>
      </c>
      <c r="K346" s="34">
        <f t="shared" si="43"/>
        <v>12903</v>
      </c>
      <c r="L346" s="33">
        <f>IF(AND(C346="No",H346&gt;'Analysis Summary'!$B$5),1,0)</f>
        <v>0</v>
      </c>
      <c r="M346" s="33" t="str">
        <f>IF(L346=1,SUM($L$2:L346),"")</f>
        <v/>
      </c>
      <c r="N346" s="33">
        <f>IF(C346="Yes",COUNTIF($C$2:C346,"Yes"),"")</f>
        <v>296</v>
      </c>
    </row>
    <row r="347" spans="1:14" x14ac:dyDescent="0.25">
      <c r="A347" s="32">
        <f>'Daily Energy'!A347</f>
        <v>46093</v>
      </c>
      <c r="B347" s="33" t="str">
        <f>'Daily Energy'!B347</f>
        <v>Thursday</v>
      </c>
      <c r="C347" s="33" t="str">
        <f>'Daily Energy'!C347</f>
        <v>Yes</v>
      </c>
      <c r="D347" s="34">
        <f>'Daily Energy'!D347</f>
        <v>1722</v>
      </c>
      <c r="E347" s="35">
        <f>'Daily Energy'!E347</f>
        <v>21.9</v>
      </c>
      <c r="F347" s="34">
        <f>'Daily Energy'!F347</f>
        <v>11658</v>
      </c>
      <c r="G347" s="34">
        <f>'Daily Energy'!G347</f>
        <v>1564</v>
      </c>
      <c r="H347" s="34">
        <f t="shared" si="40"/>
        <v>13222</v>
      </c>
      <c r="I347" s="36">
        <f t="shared" si="41"/>
        <v>46082</v>
      </c>
      <c r="J347" s="34" t="str">
        <f t="shared" si="42"/>
        <v/>
      </c>
      <c r="K347" s="34">
        <f t="shared" si="43"/>
        <v>13222</v>
      </c>
      <c r="L347" s="33">
        <f>IF(AND(C347="No",H347&gt;'Analysis Summary'!$B$5),1,0)</f>
        <v>0</v>
      </c>
      <c r="M347" s="33" t="str">
        <f>IF(L347=1,SUM($L$2:L347),"")</f>
        <v/>
      </c>
      <c r="N347" s="33">
        <f>IF(C347="Yes",COUNTIF($C$2:C347,"Yes"),"")</f>
        <v>297</v>
      </c>
    </row>
    <row r="348" spans="1:14" x14ac:dyDescent="0.25">
      <c r="A348" s="32">
        <f>'Daily Energy'!A348</f>
        <v>46094</v>
      </c>
      <c r="B348" s="33" t="str">
        <f>'Daily Energy'!B348</f>
        <v>Friday</v>
      </c>
      <c r="C348" s="33" t="str">
        <f>'Daily Energy'!C348</f>
        <v>Yes</v>
      </c>
      <c r="D348" s="34">
        <f>'Daily Energy'!D348</f>
        <v>1850</v>
      </c>
      <c r="E348" s="35">
        <f>'Daily Energy'!E348</f>
        <v>20.100000000000001</v>
      </c>
      <c r="F348" s="34">
        <f>'Daily Energy'!F348</f>
        <v>12517</v>
      </c>
      <c r="G348" s="34">
        <f>'Daily Energy'!G348</f>
        <v>1686</v>
      </c>
      <c r="H348" s="34">
        <f t="shared" si="40"/>
        <v>14203</v>
      </c>
      <c r="I348" s="36">
        <f t="shared" si="41"/>
        <v>46082</v>
      </c>
      <c r="J348" s="34" t="str">
        <f t="shared" si="42"/>
        <v/>
      </c>
      <c r="K348" s="34">
        <f t="shared" si="43"/>
        <v>14203</v>
      </c>
      <c r="L348" s="33">
        <f>IF(AND(C348="No",H348&gt;'Analysis Summary'!$B$5),1,0)</f>
        <v>0</v>
      </c>
      <c r="M348" s="33" t="str">
        <f>IF(L348=1,SUM($L$2:L348),"")</f>
        <v/>
      </c>
      <c r="N348" s="33">
        <f>IF(C348="Yes",COUNTIF($C$2:C348,"Yes"),"")</f>
        <v>298</v>
      </c>
    </row>
    <row r="349" spans="1:14" x14ac:dyDescent="0.25">
      <c r="A349" s="32">
        <f>'Daily Energy'!A349</f>
        <v>46095</v>
      </c>
      <c r="B349" s="33" t="str">
        <f>'Daily Energy'!B349</f>
        <v>Saturday</v>
      </c>
      <c r="C349" s="33" t="str">
        <f>'Daily Energy'!C349</f>
        <v>Yes</v>
      </c>
      <c r="D349" s="34">
        <f>'Daily Energy'!D349</f>
        <v>1975</v>
      </c>
      <c r="E349" s="35">
        <f>'Daily Energy'!E349</f>
        <v>24.4</v>
      </c>
      <c r="F349" s="34">
        <f>'Daily Energy'!F349</f>
        <v>12809</v>
      </c>
      <c r="G349" s="34">
        <f>'Daily Energy'!G349</f>
        <v>1797</v>
      </c>
      <c r="H349" s="34">
        <f t="shared" si="40"/>
        <v>14606</v>
      </c>
      <c r="I349" s="36">
        <f t="shared" si="41"/>
        <v>46082</v>
      </c>
      <c r="J349" s="34" t="str">
        <f t="shared" si="42"/>
        <v/>
      </c>
      <c r="K349" s="34">
        <f t="shared" si="43"/>
        <v>14606</v>
      </c>
      <c r="L349" s="33">
        <f>IF(AND(C349="No",H349&gt;'Analysis Summary'!$B$5),1,0)</f>
        <v>0</v>
      </c>
      <c r="M349" s="33" t="str">
        <f>IF(L349=1,SUM($L$2:L349),"")</f>
        <v/>
      </c>
      <c r="N349" s="33">
        <f>IF(C349="Yes",COUNTIF($C$2:C349,"Yes"),"")</f>
        <v>299</v>
      </c>
    </row>
    <row r="350" spans="1:14" x14ac:dyDescent="0.25">
      <c r="A350" s="32">
        <f>'Daily Energy'!A350</f>
        <v>46096</v>
      </c>
      <c r="B350" s="33" t="str">
        <f>'Daily Energy'!B350</f>
        <v>Sunday</v>
      </c>
      <c r="C350" s="33" t="str">
        <f>'Daily Energy'!C350</f>
        <v>No</v>
      </c>
      <c r="D350" s="34">
        <f>'Daily Energy'!D350</f>
        <v>0</v>
      </c>
      <c r="E350" s="35">
        <f>'Daily Energy'!E350</f>
        <v>23.1</v>
      </c>
      <c r="F350" s="34">
        <f>'Daily Energy'!F350</f>
        <v>2628</v>
      </c>
      <c r="G350" s="34">
        <f>'Daily Energy'!G350</f>
        <v>1397</v>
      </c>
      <c r="H350" s="34">
        <f t="shared" si="40"/>
        <v>4025</v>
      </c>
      <c r="I350" s="36">
        <f t="shared" si="41"/>
        <v>46082</v>
      </c>
      <c r="J350" s="34">
        <f t="shared" si="42"/>
        <v>4025</v>
      </c>
      <c r="K350" s="34" t="str">
        <f t="shared" si="43"/>
        <v/>
      </c>
      <c r="L350" s="33">
        <f>IF(AND(C350="No",H350&gt;'Analysis Summary'!$B$5),1,0)</f>
        <v>0</v>
      </c>
      <c r="M350" s="33" t="str">
        <f>IF(L350=1,SUM($L$2:L350),"")</f>
        <v/>
      </c>
      <c r="N350" s="33" t="str">
        <f>IF(C350="Yes",COUNTIF($C$2:C350,"Yes"),"")</f>
        <v/>
      </c>
    </row>
    <row r="351" spans="1:14" x14ac:dyDescent="0.25">
      <c r="A351" s="32">
        <f>'Daily Energy'!A351</f>
        <v>46097</v>
      </c>
      <c r="B351" s="33" t="str">
        <f>'Daily Energy'!B351</f>
        <v>Monday</v>
      </c>
      <c r="C351" s="33" t="str">
        <f>'Daily Energy'!C351</f>
        <v>Yes</v>
      </c>
      <c r="D351" s="34">
        <f>'Daily Energy'!D351</f>
        <v>1800</v>
      </c>
      <c r="E351" s="35">
        <f>'Daily Energy'!E351</f>
        <v>22.7</v>
      </c>
      <c r="F351" s="34">
        <f>'Daily Energy'!F351</f>
        <v>12016</v>
      </c>
      <c r="G351" s="34">
        <f>'Daily Energy'!G351</f>
        <v>1893</v>
      </c>
      <c r="H351" s="34">
        <f t="shared" si="40"/>
        <v>13909</v>
      </c>
      <c r="I351" s="36">
        <f t="shared" si="41"/>
        <v>46082</v>
      </c>
      <c r="J351" s="34" t="str">
        <f t="shared" si="42"/>
        <v/>
      </c>
      <c r="K351" s="34">
        <f t="shared" si="43"/>
        <v>13909</v>
      </c>
      <c r="L351" s="33">
        <f>IF(AND(C351="No",H351&gt;'Analysis Summary'!$B$5),1,0)</f>
        <v>0</v>
      </c>
      <c r="M351" s="33" t="str">
        <f>IF(L351=1,SUM($L$2:L351),"")</f>
        <v/>
      </c>
      <c r="N351" s="33">
        <f>IF(C351="Yes",COUNTIF($C$2:C351,"Yes"),"")</f>
        <v>300</v>
      </c>
    </row>
    <row r="352" spans="1:14" x14ac:dyDescent="0.25">
      <c r="A352" s="32">
        <f>'Daily Energy'!A352</f>
        <v>46098</v>
      </c>
      <c r="B352" s="33" t="str">
        <f>'Daily Energy'!B352</f>
        <v>Tuesday</v>
      </c>
      <c r="C352" s="33" t="str">
        <f>'Daily Energy'!C352</f>
        <v>Yes</v>
      </c>
      <c r="D352" s="34">
        <f>'Daily Energy'!D352</f>
        <v>1883</v>
      </c>
      <c r="E352" s="35">
        <f>'Daily Energy'!E352</f>
        <v>24.1</v>
      </c>
      <c r="F352" s="34">
        <f>'Daily Energy'!F352</f>
        <v>12496</v>
      </c>
      <c r="G352" s="34">
        <f>'Daily Energy'!G352</f>
        <v>1703</v>
      </c>
      <c r="H352" s="34">
        <f t="shared" si="40"/>
        <v>14199</v>
      </c>
      <c r="I352" s="36">
        <f t="shared" si="41"/>
        <v>46082</v>
      </c>
      <c r="J352" s="34" t="str">
        <f t="shared" si="42"/>
        <v/>
      </c>
      <c r="K352" s="34">
        <f t="shared" si="43"/>
        <v>14199</v>
      </c>
      <c r="L352" s="33">
        <f>IF(AND(C352="No",H352&gt;'Analysis Summary'!$B$5),1,0)</f>
        <v>0</v>
      </c>
      <c r="M352" s="33" t="str">
        <f>IF(L352=1,SUM($L$2:L352),"")</f>
        <v/>
      </c>
      <c r="N352" s="33">
        <f>IF(C352="Yes",COUNTIF($C$2:C352,"Yes"),"")</f>
        <v>301</v>
      </c>
    </row>
    <row r="353" spans="1:14" x14ac:dyDescent="0.25">
      <c r="A353" s="32">
        <f>'Daily Energy'!A353</f>
        <v>46099</v>
      </c>
      <c r="B353" s="33" t="str">
        <f>'Daily Energy'!B353</f>
        <v>Wednesday</v>
      </c>
      <c r="C353" s="33" t="str">
        <f>'Daily Energy'!C353</f>
        <v>Yes</v>
      </c>
      <c r="D353" s="34">
        <f>'Daily Energy'!D353</f>
        <v>1700</v>
      </c>
      <c r="E353" s="35">
        <f>'Daily Energy'!E353</f>
        <v>23.8</v>
      </c>
      <c r="F353" s="34">
        <f>'Daily Energy'!F353</f>
        <v>11598</v>
      </c>
      <c r="G353" s="34">
        <f>'Daily Energy'!G353</f>
        <v>1616</v>
      </c>
      <c r="H353" s="34">
        <f t="shared" si="40"/>
        <v>13214</v>
      </c>
      <c r="I353" s="36">
        <f t="shared" si="41"/>
        <v>46082</v>
      </c>
      <c r="J353" s="34" t="str">
        <f t="shared" si="42"/>
        <v/>
      </c>
      <c r="K353" s="34">
        <f t="shared" si="43"/>
        <v>13214</v>
      </c>
      <c r="L353" s="33">
        <f>IF(AND(C353="No",H353&gt;'Analysis Summary'!$B$5),1,0)</f>
        <v>0</v>
      </c>
      <c r="M353" s="33" t="str">
        <f>IF(L353=1,SUM($L$2:L353),"")</f>
        <v/>
      </c>
      <c r="N353" s="33">
        <f>IF(C353="Yes",COUNTIF($C$2:C353,"Yes"),"")</f>
        <v>302</v>
      </c>
    </row>
    <row r="354" spans="1:14" x14ac:dyDescent="0.25">
      <c r="A354" s="32">
        <f>'Daily Energy'!A354</f>
        <v>46100</v>
      </c>
      <c r="B354" s="33" t="str">
        <f>'Daily Energy'!B354</f>
        <v>Thursday</v>
      </c>
      <c r="C354" s="33" t="str">
        <f>'Daily Energy'!C354</f>
        <v>Yes</v>
      </c>
      <c r="D354" s="34">
        <f>'Daily Energy'!D354</f>
        <v>2001</v>
      </c>
      <c r="E354" s="35">
        <f>'Daily Energy'!E354</f>
        <v>21.7</v>
      </c>
      <c r="F354" s="34">
        <f>'Daily Energy'!F354</f>
        <v>13144</v>
      </c>
      <c r="G354" s="34">
        <f>'Daily Energy'!G354</f>
        <v>1794</v>
      </c>
      <c r="H354" s="34">
        <f t="shared" si="40"/>
        <v>14938</v>
      </c>
      <c r="I354" s="36">
        <f t="shared" si="41"/>
        <v>46082</v>
      </c>
      <c r="J354" s="34" t="str">
        <f t="shared" si="42"/>
        <v/>
      </c>
      <c r="K354" s="34">
        <f t="shared" si="43"/>
        <v>14938</v>
      </c>
      <c r="L354" s="33">
        <f>IF(AND(C354="No",H354&gt;'Analysis Summary'!$B$5),1,0)</f>
        <v>0</v>
      </c>
      <c r="M354" s="33" t="str">
        <f>IF(L354=1,SUM($L$2:L354),"")</f>
        <v/>
      </c>
      <c r="N354" s="33">
        <f>IF(C354="Yes",COUNTIF($C$2:C354,"Yes"),"")</f>
        <v>303</v>
      </c>
    </row>
    <row r="355" spans="1:14" x14ac:dyDescent="0.25">
      <c r="A355" s="32">
        <f>'Daily Energy'!A355</f>
        <v>46101</v>
      </c>
      <c r="B355" s="33" t="str">
        <f>'Daily Energy'!B355</f>
        <v>Friday</v>
      </c>
      <c r="C355" s="33" t="str">
        <f>'Daily Energy'!C355</f>
        <v>Yes</v>
      </c>
      <c r="D355" s="34">
        <f>'Daily Energy'!D355</f>
        <v>1926</v>
      </c>
      <c r="E355" s="35">
        <f>'Daily Energy'!E355</f>
        <v>25.9</v>
      </c>
      <c r="F355" s="34">
        <f>'Daily Energy'!F355</f>
        <v>12805</v>
      </c>
      <c r="G355" s="34">
        <f>'Daily Energy'!G355</f>
        <v>1791</v>
      </c>
      <c r="H355" s="34">
        <f t="shared" si="40"/>
        <v>14596</v>
      </c>
      <c r="I355" s="36">
        <f t="shared" si="41"/>
        <v>46082</v>
      </c>
      <c r="J355" s="34" t="str">
        <f t="shared" si="42"/>
        <v/>
      </c>
      <c r="K355" s="34">
        <f t="shared" si="43"/>
        <v>14596</v>
      </c>
      <c r="L355" s="33">
        <f>IF(AND(C355="No",H355&gt;'Analysis Summary'!$B$5),1,0)</f>
        <v>0</v>
      </c>
      <c r="M355" s="33" t="str">
        <f>IF(L355=1,SUM($L$2:L355),"")</f>
        <v/>
      </c>
      <c r="N355" s="33">
        <f>IF(C355="Yes",COUNTIF($C$2:C355,"Yes"),"")</f>
        <v>304</v>
      </c>
    </row>
    <row r="356" spans="1:14" x14ac:dyDescent="0.25">
      <c r="A356" s="32">
        <f>'Daily Energy'!A356</f>
        <v>46102</v>
      </c>
      <c r="B356" s="33" t="str">
        <f>'Daily Energy'!B356</f>
        <v>Saturday</v>
      </c>
      <c r="C356" s="33" t="str">
        <f>'Daily Energy'!C356</f>
        <v>Yes</v>
      </c>
      <c r="D356" s="34">
        <f>'Daily Energy'!D356</f>
        <v>1924</v>
      </c>
      <c r="E356" s="35">
        <f>'Daily Energy'!E356</f>
        <v>23.9</v>
      </c>
      <c r="F356" s="34">
        <f>'Daily Energy'!F356</f>
        <v>12598</v>
      </c>
      <c r="G356" s="34">
        <f>'Daily Energy'!G356</f>
        <v>1702</v>
      </c>
      <c r="H356" s="34">
        <f t="shared" si="40"/>
        <v>14300</v>
      </c>
      <c r="I356" s="36">
        <f t="shared" si="41"/>
        <v>46082</v>
      </c>
      <c r="J356" s="34" t="str">
        <f t="shared" si="42"/>
        <v/>
      </c>
      <c r="K356" s="34">
        <f t="shared" si="43"/>
        <v>14300</v>
      </c>
      <c r="L356" s="33">
        <f>IF(AND(C356="No",H356&gt;'Analysis Summary'!$B$5),1,0)</f>
        <v>0</v>
      </c>
      <c r="M356" s="33" t="str">
        <f>IF(L356=1,SUM($L$2:L356),"")</f>
        <v/>
      </c>
      <c r="N356" s="33">
        <f>IF(C356="Yes",COUNTIF($C$2:C356,"Yes"),"")</f>
        <v>305</v>
      </c>
    </row>
    <row r="357" spans="1:14" x14ac:dyDescent="0.25">
      <c r="A357" s="32">
        <f>'Daily Energy'!A357</f>
        <v>46103</v>
      </c>
      <c r="B357" s="33" t="str">
        <f>'Daily Energy'!B357</f>
        <v>Sunday</v>
      </c>
      <c r="C357" s="33" t="str">
        <f>'Daily Energy'!C357</f>
        <v>No</v>
      </c>
      <c r="D357" s="34">
        <f>'Daily Energy'!D357</f>
        <v>0</v>
      </c>
      <c r="E357" s="35">
        <f>'Daily Energy'!E357</f>
        <v>20.5</v>
      </c>
      <c r="F357" s="34">
        <f>'Daily Energy'!F357</f>
        <v>2621</v>
      </c>
      <c r="G357" s="34">
        <f>'Daily Energy'!G357</f>
        <v>1531</v>
      </c>
      <c r="H357" s="34">
        <f t="shared" si="40"/>
        <v>4152</v>
      </c>
      <c r="I357" s="36">
        <f t="shared" si="41"/>
        <v>46082</v>
      </c>
      <c r="J357" s="34">
        <f t="shared" si="42"/>
        <v>4152</v>
      </c>
      <c r="K357" s="34" t="str">
        <f t="shared" si="43"/>
        <v/>
      </c>
      <c r="L357" s="33">
        <f>IF(AND(C357="No",H357&gt;'Analysis Summary'!$B$5),1,0)</f>
        <v>0</v>
      </c>
      <c r="M357" s="33" t="str">
        <f>IF(L357=1,SUM($L$2:L357),"")</f>
        <v/>
      </c>
      <c r="N357" s="33" t="str">
        <f>IF(C357="Yes",COUNTIF($C$2:C357,"Yes"),"")</f>
        <v/>
      </c>
    </row>
    <row r="358" spans="1:14" x14ac:dyDescent="0.25">
      <c r="A358" s="32">
        <f>'Daily Energy'!A358</f>
        <v>46104</v>
      </c>
      <c r="B358" s="33" t="str">
        <f>'Daily Energy'!B358</f>
        <v>Monday</v>
      </c>
      <c r="C358" s="33" t="str">
        <f>'Daily Energy'!C358</f>
        <v>Yes</v>
      </c>
      <c r="D358" s="34">
        <f>'Daily Energy'!D358</f>
        <v>1989</v>
      </c>
      <c r="E358" s="35">
        <f>'Daily Energy'!E358</f>
        <v>27.2</v>
      </c>
      <c r="F358" s="34">
        <f>'Daily Energy'!F358</f>
        <v>12876</v>
      </c>
      <c r="G358" s="34">
        <f>'Daily Energy'!G358</f>
        <v>1838</v>
      </c>
      <c r="H358" s="34">
        <f t="shared" si="40"/>
        <v>14714</v>
      </c>
      <c r="I358" s="36">
        <f t="shared" si="41"/>
        <v>46082</v>
      </c>
      <c r="J358" s="34" t="str">
        <f t="shared" si="42"/>
        <v/>
      </c>
      <c r="K358" s="34">
        <f t="shared" si="43"/>
        <v>14714</v>
      </c>
      <c r="L358" s="33">
        <f>IF(AND(C358="No",H358&gt;'Analysis Summary'!$B$5),1,0)</f>
        <v>0</v>
      </c>
      <c r="M358" s="33" t="str">
        <f>IF(L358=1,SUM($L$2:L358),"")</f>
        <v/>
      </c>
      <c r="N358" s="33">
        <f>IF(C358="Yes",COUNTIF($C$2:C358,"Yes"),"")</f>
        <v>306</v>
      </c>
    </row>
    <row r="359" spans="1:14" x14ac:dyDescent="0.25">
      <c r="A359" s="32">
        <f>'Daily Energy'!A359</f>
        <v>46105</v>
      </c>
      <c r="B359" s="33" t="str">
        <f>'Daily Energy'!B359</f>
        <v>Tuesday</v>
      </c>
      <c r="C359" s="33" t="str">
        <f>'Daily Energy'!C359</f>
        <v>Yes</v>
      </c>
      <c r="D359" s="34">
        <f>'Daily Energy'!D359</f>
        <v>1568</v>
      </c>
      <c r="E359" s="35">
        <f>'Daily Energy'!E359</f>
        <v>26</v>
      </c>
      <c r="F359" s="34">
        <f>'Daily Energy'!F359</f>
        <v>10553</v>
      </c>
      <c r="G359" s="34">
        <f>'Daily Energy'!G359</f>
        <v>1511</v>
      </c>
      <c r="H359" s="34">
        <f t="shared" si="40"/>
        <v>12064</v>
      </c>
      <c r="I359" s="36">
        <f t="shared" si="41"/>
        <v>46082</v>
      </c>
      <c r="J359" s="34" t="str">
        <f t="shared" si="42"/>
        <v/>
      </c>
      <c r="K359" s="34">
        <f t="shared" si="43"/>
        <v>12064</v>
      </c>
      <c r="L359" s="33">
        <f>IF(AND(C359="No",H359&gt;'Analysis Summary'!$B$5),1,0)</f>
        <v>0</v>
      </c>
      <c r="M359" s="33" t="str">
        <f>IF(L359=1,SUM($L$2:L359),"")</f>
        <v/>
      </c>
      <c r="N359" s="33">
        <f>IF(C359="Yes",COUNTIF($C$2:C359,"Yes"),"")</f>
        <v>307</v>
      </c>
    </row>
    <row r="360" spans="1:14" x14ac:dyDescent="0.25">
      <c r="A360" s="32">
        <f>'Daily Energy'!A360</f>
        <v>46106</v>
      </c>
      <c r="B360" s="33" t="str">
        <f>'Daily Energy'!B360</f>
        <v>Wednesday</v>
      </c>
      <c r="C360" s="33" t="str">
        <f>'Daily Energy'!C360</f>
        <v>Yes</v>
      </c>
      <c r="D360" s="34">
        <f>'Daily Energy'!D360</f>
        <v>2049</v>
      </c>
      <c r="E360" s="35">
        <f>'Daily Energy'!E360</f>
        <v>25.3</v>
      </c>
      <c r="F360" s="34">
        <f>'Daily Energy'!F360</f>
        <v>12788</v>
      </c>
      <c r="G360" s="34">
        <f>'Daily Energy'!G360</f>
        <v>1993</v>
      </c>
      <c r="H360" s="34">
        <f t="shared" si="40"/>
        <v>14781</v>
      </c>
      <c r="I360" s="36">
        <f t="shared" si="41"/>
        <v>46082</v>
      </c>
      <c r="J360" s="34" t="str">
        <f t="shared" si="42"/>
        <v/>
      </c>
      <c r="K360" s="34">
        <f t="shared" si="43"/>
        <v>14781</v>
      </c>
      <c r="L360" s="33">
        <f>IF(AND(C360="No",H360&gt;'Analysis Summary'!$B$5),1,0)</f>
        <v>0</v>
      </c>
      <c r="M360" s="33" t="str">
        <f>IF(L360=1,SUM($L$2:L360),"")</f>
        <v/>
      </c>
      <c r="N360" s="33">
        <f>IF(C360="Yes",COUNTIF($C$2:C360,"Yes"),"")</f>
        <v>308</v>
      </c>
    </row>
    <row r="361" spans="1:14" x14ac:dyDescent="0.25">
      <c r="A361" s="32">
        <f>'Daily Energy'!A361</f>
        <v>46107</v>
      </c>
      <c r="B361" s="33" t="str">
        <f>'Daily Energy'!B361</f>
        <v>Thursday</v>
      </c>
      <c r="C361" s="33" t="str">
        <f>'Daily Energy'!C361</f>
        <v>Yes</v>
      </c>
      <c r="D361" s="34">
        <f>'Daily Energy'!D361</f>
        <v>1920</v>
      </c>
      <c r="E361" s="35">
        <f>'Daily Energy'!E361</f>
        <v>28.4</v>
      </c>
      <c r="F361" s="34">
        <f>'Daily Energy'!F361</f>
        <v>12689</v>
      </c>
      <c r="G361" s="34">
        <f>'Daily Energy'!G361</f>
        <v>1648</v>
      </c>
      <c r="H361" s="34">
        <f t="shared" si="40"/>
        <v>14337</v>
      </c>
      <c r="I361" s="36">
        <f t="shared" si="41"/>
        <v>46082</v>
      </c>
      <c r="J361" s="34" t="str">
        <f t="shared" si="42"/>
        <v/>
      </c>
      <c r="K361" s="34">
        <f t="shared" si="43"/>
        <v>14337</v>
      </c>
      <c r="L361" s="33">
        <f>IF(AND(C361="No",H361&gt;'Analysis Summary'!$B$5),1,0)</f>
        <v>0</v>
      </c>
      <c r="M361" s="33" t="str">
        <f>IF(L361=1,SUM($L$2:L361),"")</f>
        <v/>
      </c>
      <c r="N361" s="33">
        <f>IF(C361="Yes",COUNTIF($C$2:C361,"Yes"),"")</f>
        <v>309</v>
      </c>
    </row>
    <row r="362" spans="1:14" x14ac:dyDescent="0.25">
      <c r="A362" s="32">
        <f>'Daily Energy'!A362</f>
        <v>46108</v>
      </c>
      <c r="B362" s="33" t="str">
        <f>'Daily Energy'!B362</f>
        <v>Friday</v>
      </c>
      <c r="C362" s="33" t="str">
        <f>'Daily Energy'!C362</f>
        <v>Yes</v>
      </c>
      <c r="D362" s="34">
        <f>'Daily Energy'!D362</f>
        <v>1719</v>
      </c>
      <c r="E362" s="35">
        <f>'Daily Energy'!E362</f>
        <v>25.6</v>
      </c>
      <c r="F362" s="34">
        <f>'Daily Energy'!F362</f>
        <v>11825</v>
      </c>
      <c r="G362" s="34">
        <f>'Daily Energy'!G362</f>
        <v>1516</v>
      </c>
      <c r="H362" s="34">
        <f t="shared" si="40"/>
        <v>13341</v>
      </c>
      <c r="I362" s="36">
        <f t="shared" si="41"/>
        <v>46082</v>
      </c>
      <c r="J362" s="34" t="str">
        <f t="shared" si="42"/>
        <v/>
      </c>
      <c r="K362" s="34">
        <f t="shared" si="43"/>
        <v>13341</v>
      </c>
      <c r="L362" s="33">
        <f>IF(AND(C362="No",H362&gt;'Analysis Summary'!$B$5),1,0)</f>
        <v>0</v>
      </c>
      <c r="M362" s="33" t="str">
        <f>IF(L362=1,SUM($L$2:L362),"")</f>
        <v/>
      </c>
      <c r="N362" s="33">
        <f>IF(C362="Yes",COUNTIF($C$2:C362,"Yes"),"")</f>
        <v>310</v>
      </c>
    </row>
    <row r="363" spans="1:14" x14ac:dyDescent="0.25">
      <c r="A363" s="32">
        <f>'Daily Energy'!A363</f>
        <v>46109</v>
      </c>
      <c r="B363" s="33" t="str">
        <f>'Daily Energy'!B363</f>
        <v>Saturday</v>
      </c>
      <c r="C363" s="33" t="str">
        <f>'Daily Energy'!C363</f>
        <v>Yes</v>
      </c>
      <c r="D363" s="34">
        <f>'Daily Energy'!D363</f>
        <v>1648</v>
      </c>
      <c r="E363" s="35">
        <f>'Daily Energy'!E363</f>
        <v>24.3</v>
      </c>
      <c r="F363" s="34">
        <f>'Daily Energy'!F363</f>
        <v>10809</v>
      </c>
      <c r="G363" s="34">
        <f>'Daily Energy'!G363</f>
        <v>1505</v>
      </c>
      <c r="H363" s="34">
        <f t="shared" si="40"/>
        <v>12314</v>
      </c>
      <c r="I363" s="36">
        <f t="shared" si="41"/>
        <v>46082</v>
      </c>
      <c r="J363" s="34" t="str">
        <f t="shared" si="42"/>
        <v/>
      </c>
      <c r="K363" s="34">
        <f t="shared" si="43"/>
        <v>12314</v>
      </c>
      <c r="L363" s="33">
        <f>IF(AND(C363="No",H363&gt;'Analysis Summary'!$B$5),1,0)</f>
        <v>0</v>
      </c>
      <c r="M363" s="33" t="str">
        <f>IF(L363=1,SUM($L$2:L363),"")</f>
        <v/>
      </c>
      <c r="N363" s="33">
        <f>IF(C363="Yes",COUNTIF($C$2:C363,"Yes"),"")</f>
        <v>311</v>
      </c>
    </row>
    <row r="364" spans="1:14" x14ac:dyDescent="0.25">
      <c r="A364" s="32">
        <f>'Daily Energy'!A364</f>
        <v>46110</v>
      </c>
      <c r="B364" s="33" t="str">
        <f>'Daily Energy'!B364</f>
        <v>Sunday</v>
      </c>
      <c r="C364" s="33" t="str">
        <f>'Daily Energy'!C364</f>
        <v>No</v>
      </c>
      <c r="D364" s="34">
        <f>'Daily Energy'!D364</f>
        <v>0</v>
      </c>
      <c r="E364" s="35">
        <f>'Daily Energy'!E364</f>
        <v>24.4</v>
      </c>
      <c r="F364" s="34">
        <f>'Daily Energy'!F364</f>
        <v>2232</v>
      </c>
      <c r="G364" s="34">
        <f>'Daily Energy'!G364</f>
        <v>1910</v>
      </c>
      <c r="H364" s="34">
        <f t="shared" si="40"/>
        <v>4142</v>
      </c>
      <c r="I364" s="36">
        <f t="shared" si="41"/>
        <v>46082</v>
      </c>
      <c r="J364" s="34">
        <f t="shared" si="42"/>
        <v>4142</v>
      </c>
      <c r="K364" s="34" t="str">
        <f t="shared" si="43"/>
        <v/>
      </c>
      <c r="L364" s="33">
        <f>IF(AND(C364="No",H364&gt;'Analysis Summary'!$B$5),1,0)</f>
        <v>0</v>
      </c>
      <c r="M364" s="33" t="str">
        <f>IF(L364=1,SUM($L$2:L364),"")</f>
        <v/>
      </c>
      <c r="N364" s="33" t="str">
        <f>IF(C364="Yes",COUNTIF($C$2:C364,"Yes"),"")</f>
        <v/>
      </c>
    </row>
    <row r="365" spans="1:14" x14ac:dyDescent="0.25">
      <c r="A365" s="32">
        <f>'Daily Energy'!A365</f>
        <v>46111</v>
      </c>
      <c r="B365" s="33" t="str">
        <f>'Daily Energy'!B365</f>
        <v>Monday</v>
      </c>
      <c r="C365" s="33" t="str">
        <f>'Daily Energy'!C365</f>
        <v>Yes</v>
      </c>
      <c r="D365" s="34">
        <f>'Daily Energy'!D365</f>
        <v>1795</v>
      </c>
      <c r="E365" s="35">
        <f>'Daily Energy'!E365</f>
        <v>24</v>
      </c>
      <c r="F365" s="34">
        <f>'Daily Energy'!F365</f>
        <v>11814</v>
      </c>
      <c r="G365" s="34">
        <f>'Daily Energy'!G365</f>
        <v>1654</v>
      </c>
      <c r="H365" s="34">
        <f t="shared" si="40"/>
        <v>13468</v>
      </c>
      <c r="I365" s="36">
        <f t="shared" si="41"/>
        <v>46082</v>
      </c>
      <c r="J365" s="34" t="str">
        <f t="shared" si="42"/>
        <v/>
      </c>
      <c r="K365" s="34">
        <f t="shared" si="43"/>
        <v>13468</v>
      </c>
      <c r="L365" s="33">
        <f>IF(AND(C365="No",H365&gt;'Analysis Summary'!$B$5),1,0)</f>
        <v>0</v>
      </c>
      <c r="M365" s="33" t="str">
        <f>IF(L365=1,SUM($L$2:L365),"")</f>
        <v/>
      </c>
      <c r="N365" s="33">
        <f>IF(C365="Yes",COUNTIF($C$2:C365,"Yes"),"")</f>
        <v>312</v>
      </c>
    </row>
    <row r="366" spans="1:14" x14ac:dyDescent="0.25">
      <c r="A366" s="32">
        <f>'Daily Energy'!A366</f>
        <v>46112</v>
      </c>
      <c r="B366" s="33" t="str">
        <f>'Daily Energy'!B366</f>
        <v>Tuesday</v>
      </c>
      <c r="C366" s="33" t="str">
        <f>'Daily Energy'!C366</f>
        <v>Yes</v>
      </c>
      <c r="D366" s="34">
        <f>'Daily Energy'!D366</f>
        <v>1853</v>
      </c>
      <c r="E366" s="35">
        <f>'Daily Energy'!E366</f>
        <v>23.7</v>
      </c>
      <c r="F366" s="34">
        <f>'Daily Energy'!F366</f>
        <v>12752</v>
      </c>
      <c r="G366" s="34">
        <f>'Daily Energy'!G366</f>
        <v>1740</v>
      </c>
      <c r="H366" s="34">
        <f t="shared" si="40"/>
        <v>14492</v>
      </c>
      <c r="I366" s="36">
        <f t="shared" si="41"/>
        <v>46082</v>
      </c>
      <c r="J366" s="34" t="str">
        <f t="shared" si="42"/>
        <v/>
      </c>
      <c r="K366" s="34">
        <f t="shared" si="43"/>
        <v>14492</v>
      </c>
      <c r="L366" s="33">
        <f>IF(AND(C366="No",H366&gt;'Analysis Summary'!$B$5),1,0)</f>
        <v>0</v>
      </c>
      <c r="M366" s="33" t="str">
        <f>IF(L366=1,SUM($L$2:L366),"")</f>
        <v/>
      </c>
      <c r="N366" s="33">
        <f>IF(C366="Yes",COUNTIF($C$2:C366,"Yes"),"")</f>
        <v>313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
  <sheetViews>
    <sheetView showGridLines="0" zoomScaleNormal="100" workbookViewId="0">
      <pane ySplit="3" topLeftCell="A4" activePane="bottomLeft" state="frozen"/>
      <selection pane="bottomLeft"/>
    </sheetView>
  </sheetViews>
  <sheetFormatPr defaultColWidth="8.6640625" defaultRowHeight="13.2" x14ac:dyDescent="0.25"/>
  <cols>
    <col min="1" max="1" width="40" customWidth="1"/>
    <col min="2" max="2" width="18" customWidth="1"/>
    <col min="3" max="3" width="12" customWidth="1"/>
    <col min="4" max="4" width="80" customWidth="1"/>
  </cols>
  <sheetData>
    <row r="1" spans="1:4" ht="19.2" x14ac:dyDescent="0.35">
      <c r="A1" s="19" t="s">
        <v>178</v>
      </c>
    </row>
    <row r="2" spans="1:4" x14ac:dyDescent="0.25">
      <c r="A2" s="20" t="s">
        <v>179</v>
      </c>
    </row>
    <row r="3" spans="1:4" x14ac:dyDescent="0.25">
      <c r="A3" s="21" t="s">
        <v>180</v>
      </c>
      <c r="B3" s="21" t="s">
        <v>181</v>
      </c>
      <c r="C3" s="21" t="s">
        <v>182</v>
      </c>
      <c r="D3" s="21" t="s">
        <v>183</v>
      </c>
    </row>
    <row r="4" spans="1:4" x14ac:dyDescent="0.25">
      <c r="A4" s="22" t="s">
        <v>184</v>
      </c>
      <c r="B4" s="38">
        <f>SUM('Analysis Data'!$H$2:$H$366)</f>
        <v>4489639</v>
      </c>
      <c r="C4" s="39" t="s">
        <v>185</v>
      </c>
      <c r="D4" s="40" t="s">
        <v>186</v>
      </c>
    </row>
    <row r="5" spans="1:4" x14ac:dyDescent="0.25">
      <c r="A5" s="22" t="s">
        <v>187</v>
      </c>
      <c r="B5" s="38">
        <f>SUM('Analysis Data'!$F$2:$F$366)</f>
        <v>4014871</v>
      </c>
      <c r="C5" s="39" t="s">
        <v>185</v>
      </c>
      <c r="D5" s="40" t="s">
        <v>188</v>
      </c>
    </row>
    <row r="6" spans="1:4" x14ac:dyDescent="0.25">
      <c r="A6" s="22" t="s">
        <v>189</v>
      </c>
      <c r="B6" s="38">
        <f>SUM('Analysis Data'!$G$2:$G$366)</f>
        <v>474768</v>
      </c>
      <c r="C6" s="39" t="s">
        <v>185</v>
      </c>
      <c r="D6" s="40" t="s">
        <v>190</v>
      </c>
    </row>
    <row r="7" spans="1:4" x14ac:dyDescent="0.25">
      <c r="A7" s="22" t="s">
        <v>191</v>
      </c>
      <c r="B7" s="41">
        <f>B6/B4</f>
        <v>0.10574747769252717</v>
      </c>
      <c r="C7" s="39" t="s">
        <v>192</v>
      </c>
      <c r="D7" s="40" t="s">
        <v>193</v>
      </c>
    </row>
    <row r="8" spans="1:4" x14ac:dyDescent="0.25">
      <c r="A8" s="22" t="s">
        <v>194</v>
      </c>
      <c r="B8" s="38">
        <f>SUM('Analysis Data'!$D$2:$D$366)</f>
        <v>566026</v>
      </c>
      <c r="C8" s="39" t="s">
        <v>195</v>
      </c>
      <c r="D8" s="40" t="s">
        <v>196</v>
      </c>
    </row>
    <row r="9" spans="1:4" x14ac:dyDescent="0.25">
      <c r="A9" s="22" t="s">
        <v>197</v>
      </c>
      <c r="B9" s="23">
        <f>COUNTIF('Analysis Data'!$C$2:$C$366,"Yes")</f>
        <v>313</v>
      </c>
      <c r="C9" s="39" t="s">
        <v>198</v>
      </c>
      <c r="D9" s="40" t="s">
        <v>199</v>
      </c>
    </row>
    <row r="10" spans="1:4" x14ac:dyDescent="0.25">
      <c r="A10" s="22" t="s">
        <v>200</v>
      </c>
      <c r="B10" s="23">
        <f>COUNTIF('Analysis Data'!$C$2:$C$366,"No")</f>
        <v>52</v>
      </c>
      <c r="C10" s="39" t="s">
        <v>198</v>
      </c>
      <c r="D10" s="40" t="s">
        <v>201</v>
      </c>
    </row>
    <row r="11" spans="1:4" x14ac:dyDescent="0.25">
      <c r="A11" s="22" t="s">
        <v>202</v>
      </c>
      <c r="B11" s="38">
        <f>SUM('Analysis Data'!$K$2:$K$366)</f>
        <v>4271630</v>
      </c>
      <c r="C11" s="39" t="s">
        <v>185</v>
      </c>
      <c r="D11" s="40" t="s">
        <v>203</v>
      </c>
    </row>
    <row r="12" spans="1:4" x14ac:dyDescent="0.25">
      <c r="A12" s="22" t="s">
        <v>204</v>
      </c>
      <c r="B12" s="42">
        <f>B11/B8</f>
        <v>7.5467028016380873</v>
      </c>
      <c r="C12" s="39" t="s">
        <v>205</v>
      </c>
      <c r="D12" s="40" t="s">
        <v>206</v>
      </c>
    </row>
    <row r="13" spans="1:4" x14ac:dyDescent="0.25">
      <c r="A13" s="22" t="s">
        <v>207</v>
      </c>
      <c r="B13" s="38">
        <f>SUM('Analysis Data'!$J$2:$J$366)</f>
        <v>218009</v>
      </c>
      <c r="C13" s="39" t="s">
        <v>185</v>
      </c>
      <c r="D13" s="40" t="s">
        <v>208</v>
      </c>
    </row>
    <row r="14" spans="1:4" x14ac:dyDescent="0.25">
      <c r="A14" s="22" t="s">
        <v>209</v>
      </c>
      <c r="B14" s="43">
        <f>B13/B4</f>
        <v>4.8558247110736523E-2</v>
      </c>
      <c r="C14" s="39" t="s">
        <v>192</v>
      </c>
      <c r="D14" s="40" t="s">
        <v>210</v>
      </c>
    </row>
    <row r="15" spans="1:4" x14ac:dyDescent="0.25">
      <c r="A15" s="22" t="s">
        <v>211</v>
      </c>
      <c r="B15" s="38">
        <f>MAX('Daily Energy'!$I$2:$I$366)</f>
        <v>520</v>
      </c>
      <c r="C15" s="39" t="s">
        <v>212</v>
      </c>
      <c r="D15" s="40" t="s">
        <v>213</v>
      </c>
    </row>
    <row r="16" spans="1:4" x14ac:dyDescent="0.25">
      <c r="A16" s="22" t="s">
        <v>214</v>
      </c>
      <c r="B16" s="38">
        <f>SUM('Daily Energy'!$J$2:$J$366)</f>
        <v>364</v>
      </c>
      <c r="C16" s="39" t="s">
        <v>215</v>
      </c>
      <c r="D16" s="40" t="s">
        <v>216</v>
      </c>
    </row>
    <row r="17" spans="1:4" x14ac:dyDescent="0.25">
      <c r="A17" s="22" t="s">
        <v>217</v>
      </c>
      <c r="B17" s="23">
        <f>COUNT('Analysis Data'!$A$2:$A$366)</f>
        <v>365</v>
      </c>
      <c r="C17" s="39" t="s">
        <v>198</v>
      </c>
      <c r="D17" s="40" t="s">
        <v>218</v>
      </c>
    </row>
    <row r="18" spans="1:4" x14ac:dyDescent="0.25">
      <c r="A18" s="22" t="s">
        <v>219</v>
      </c>
      <c r="B18" s="23">
        <f>'Analysis Summary'!B7</f>
        <v>3</v>
      </c>
      <c r="C18" s="39" t="s">
        <v>198</v>
      </c>
      <c r="D18" s="40" t="s">
        <v>220</v>
      </c>
    </row>
    <row r="19" spans="1:4" x14ac:dyDescent="0.25">
      <c r="A19" s="22" t="s">
        <v>221</v>
      </c>
      <c r="B19" s="44">
        <f>'Analysis Summary'!B5</f>
        <v>4687.6999999999989</v>
      </c>
      <c r="C19" s="39" t="s">
        <v>185</v>
      </c>
      <c r="D19" s="40" t="s">
        <v>222</v>
      </c>
    </row>
    <row r="20" spans="1:4" x14ac:dyDescent="0.25">
      <c r="A20" s="22" t="s">
        <v>223</v>
      </c>
      <c r="B20" s="43">
        <f>MIN('Monthly Analysis'!I5:I16)</f>
        <v>5.2037384528421687E-2</v>
      </c>
      <c r="C20" s="39" t="s">
        <v>192</v>
      </c>
      <c r="D20" s="40" t="s">
        <v>224</v>
      </c>
    </row>
    <row r="21" spans="1:4" x14ac:dyDescent="0.25">
      <c r="A21" s="22" t="s">
        <v>225</v>
      </c>
      <c r="B21" s="43">
        <f>MAX('Monthly Analysis'!I5:I16)</f>
        <v>0.13761414804528047</v>
      </c>
      <c r="C21" s="39" t="s">
        <v>192</v>
      </c>
      <c r="D21" s="40" t="s">
        <v>224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9"/>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3.2" x14ac:dyDescent="0.25"/>
  <cols>
    <col min="1" max="1" width="10" customWidth="1"/>
    <col min="2" max="16" width="13" customWidth="1"/>
  </cols>
  <sheetData>
    <row r="1" spans="1:16" ht="19.2" x14ac:dyDescent="0.35">
      <c r="A1" s="19" t="s">
        <v>226</v>
      </c>
    </row>
    <row r="2" spans="1:16" x14ac:dyDescent="0.25">
      <c r="A2" s="20" t="s">
        <v>227</v>
      </c>
    </row>
    <row r="4" spans="1:16" ht="42" customHeight="1" x14ac:dyDescent="0.25">
      <c r="A4" s="21" t="s">
        <v>228</v>
      </c>
      <c r="B4" s="21" t="s">
        <v>229</v>
      </c>
      <c r="C4" s="21" t="s">
        <v>230</v>
      </c>
      <c r="D4" s="21" t="s">
        <v>156</v>
      </c>
      <c r="E4" s="21" t="s">
        <v>157</v>
      </c>
      <c r="F4" s="21" t="s">
        <v>231</v>
      </c>
      <c r="G4" s="21" t="s">
        <v>232</v>
      </c>
      <c r="H4" s="21" t="s">
        <v>233</v>
      </c>
      <c r="I4" s="21" t="s">
        <v>234</v>
      </c>
      <c r="J4" s="21" t="s">
        <v>235</v>
      </c>
      <c r="K4" s="21" t="s">
        <v>236</v>
      </c>
      <c r="L4" s="21" t="s">
        <v>237</v>
      </c>
      <c r="M4" s="21" t="s">
        <v>238</v>
      </c>
      <c r="N4" s="21" t="s">
        <v>239</v>
      </c>
      <c r="O4" s="21" t="s">
        <v>240</v>
      </c>
      <c r="P4" s="21" t="s">
        <v>241</v>
      </c>
    </row>
    <row r="5" spans="1:16" x14ac:dyDescent="0.25">
      <c r="A5" s="45" t="str">
        <f t="shared" ref="A5:A16" si="0">TEXT(B5,"mmm-yy")</f>
        <v>Apr-25</v>
      </c>
      <c r="B5" s="46">
        <f>DATE(YEAR(MIN('Daily Energy'!$A$2:$A$366)),MONTH(MIN('Daily Energy'!$A$2:$A$366)),1)</f>
        <v>45748</v>
      </c>
      <c r="C5" s="23">
        <f>COUNTIF('Analysis Data'!$I$2:$I$366,B5)</f>
        <v>30</v>
      </c>
      <c r="D5" s="23">
        <f>COUNTIFS('Analysis Data'!$I$2:$I$366,B5,'Analysis Data'!$C$2:$C$366,"Yes")</f>
        <v>26</v>
      </c>
      <c r="E5" s="23">
        <f>COUNTIFS('Analysis Data'!$I$2:$I$366,B5,'Analysis Data'!$C$2:$C$366,"No")</f>
        <v>4</v>
      </c>
      <c r="F5" s="38">
        <f>SUMIFS('Analysis Data'!$F$2:$F$366,'Analysis Data'!$I$2:$I$366,B5)</f>
        <v>316499</v>
      </c>
      <c r="G5" s="38">
        <f>SUMIFS('Analysis Data'!$G$2:$G$366,'Analysis Data'!$I$2:$I$366,B5)</f>
        <v>48738</v>
      </c>
      <c r="H5" s="38">
        <f t="shared" ref="H5:H16" si="1">F5+G5</f>
        <v>365237</v>
      </c>
      <c r="I5" s="43">
        <f t="shared" ref="I5:I16" si="2">IF(H5=0,0,G5/H5)</f>
        <v>0.13344212114325765</v>
      </c>
      <c r="J5" s="38">
        <f>SUMIFS('Analysis Data'!$H$2:$H$366,'Analysis Data'!$I$2:$I$366,B5,'Analysis Data'!$C$2:$C$366,"Yes")</f>
        <v>349141</v>
      </c>
      <c r="K5" s="38">
        <f>SUMIFS('Analysis Data'!$D$2:$D$366,'Analysis Data'!$I$2:$I$366,B5,'Analysis Data'!$C$2:$C$366,"Yes")</f>
        <v>45912</v>
      </c>
      <c r="L5" s="42">
        <f t="shared" ref="L5:L16" si="3">IF(K5=0,0,J5/K5)</f>
        <v>7.6045696114305628</v>
      </c>
      <c r="M5" s="38">
        <f>SUMIFS('Analysis Data'!$H$2:$H$366,'Analysis Data'!$I$2:$I$366,B5,'Analysis Data'!$C$2:$C$366,"No")</f>
        <v>16096</v>
      </c>
      <c r="N5" s="38">
        <f>_xlfn.MAXIFS('Daily Energy'!$I$2:$I$366,'Analysis Data'!$I$2:$I$366,B5)</f>
        <v>519</v>
      </c>
      <c r="O5" s="38">
        <f>SUMIFS('Daily Energy'!$J$2:$J$366,'Analysis Data'!$I$2:$I$366,B5)</f>
        <v>31</v>
      </c>
      <c r="P5" s="47">
        <f>AVERAGEIFS('Analysis Data'!$E$2:$E$366,'Analysis Data'!$I$2:$I$366,B5,'Analysis Data'!$C$2:$C$366,"Yes")</f>
        <v>26.780769230769231</v>
      </c>
    </row>
    <row r="6" spans="1:16" x14ac:dyDescent="0.25">
      <c r="A6" s="45" t="str">
        <f t="shared" si="0"/>
        <v>May-25</v>
      </c>
      <c r="B6" s="46">
        <f t="shared" ref="B6:B16" si="4">EDATE(B5,1)</f>
        <v>45778</v>
      </c>
      <c r="C6" s="23">
        <f>COUNTIF('Analysis Data'!$I$2:$I$366,B6)</f>
        <v>31</v>
      </c>
      <c r="D6" s="23">
        <f>COUNTIFS('Analysis Data'!$I$2:$I$366,B6,'Analysis Data'!$C$2:$C$366,"Yes")</f>
        <v>27</v>
      </c>
      <c r="E6" s="23">
        <f>COUNTIFS('Analysis Data'!$I$2:$I$366,B6,'Analysis Data'!$C$2:$C$366,"No")</f>
        <v>4</v>
      </c>
      <c r="F6" s="38">
        <f>SUMIFS('Analysis Data'!$F$2:$F$366,'Analysis Data'!$I$2:$I$366,B6)</f>
        <v>353699</v>
      </c>
      <c r="G6" s="38">
        <f>SUMIFS('Analysis Data'!$G$2:$G$366,'Analysis Data'!$I$2:$I$366,B6)</f>
        <v>49544</v>
      </c>
      <c r="H6" s="38">
        <f t="shared" si="1"/>
        <v>403243</v>
      </c>
      <c r="I6" s="43">
        <f t="shared" si="2"/>
        <v>0.12286388108411057</v>
      </c>
      <c r="J6" s="38">
        <f>SUMIFS('Analysis Data'!$H$2:$H$366,'Analysis Data'!$I$2:$I$366,B6,'Analysis Data'!$C$2:$C$366,"Yes")</f>
        <v>384875</v>
      </c>
      <c r="K6" s="38">
        <f>SUMIFS('Analysis Data'!$D$2:$D$366,'Analysis Data'!$I$2:$I$366,B6,'Analysis Data'!$C$2:$C$366,"Yes")</f>
        <v>49216</v>
      </c>
      <c r="L6" s="42">
        <f t="shared" si="3"/>
        <v>7.820119473342003</v>
      </c>
      <c r="M6" s="38">
        <f>SUMIFS('Analysis Data'!$H$2:$H$366,'Analysis Data'!$I$2:$I$366,B6,'Analysis Data'!$C$2:$C$366,"No")</f>
        <v>18368</v>
      </c>
      <c r="N6" s="38">
        <f>_xlfn.MAXIFS('Daily Energy'!$I$2:$I$366,'Analysis Data'!$I$2:$I$366,B6)</f>
        <v>518</v>
      </c>
      <c r="O6" s="38">
        <f>SUMIFS('Daily Energy'!$J$2:$J$366,'Analysis Data'!$I$2:$I$366,B6)</f>
        <v>30</v>
      </c>
      <c r="P6" s="47">
        <f>AVERAGEIFS('Analysis Data'!$E$2:$E$366,'Analysis Data'!$I$2:$I$366,B6,'Analysis Data'!$C$2:$C$366,"Yes")</f>
        <v>29.659259259259262</v>
      </c>
    </row>
    <row r="7" spans="1:16" x14ac:dyDescent="0.25">
      <c r="A7" s="45" t="str">
        <f t="shared" si="0"/>
        <v>Jun-25</v>
      </c>
      <c r="B7" s="46">
        <f t="shared" si="4"/>
        <v>45809</v>
      </c>
      <c r="C7" s="23">
        <f>COUNTIF('Analysis Data'!$I$2:$I$366,B7)</f>
        <v>30</v>
      </c>
      <c r="D7" s="23">
        <f>COUNTIFS('Analysis Data'!$I$2:$I$366,B7,'Analysis Data'!$C$2:$C$366,"Yes")</f>
        <v>25</v>
      </c>
      <c r="E7" s="23">
        <f>COUNTIFS('Analysis Data'!$I$2:$I$366,B7,'Analysis Data'!$C$2:$C$366,"No")</f>
        <v>5</v>
      </c>
      <c r="F7" s="38">
        <f>SUMIFS('Analysis Data'!$F$2:$F$366,'Analysis Data'!$I$2:$I$366,B7)</f>
        <v>347954</v>
      </c>
      <c r="G7" s="38">
        <f>SUMIFS('Analysis Data'!$G$2:$G$366,'Analysis Data'!$I$2:$I$366,B7)</f>
        <v>20853</v>
      </c>
      <c r="H7" s="38">
        <f t="shared" si="1"/>
        <v>368807</v>
      </c>
      <c r="I7" s="43">
        <f t="shared" si="2"/>
        <v>5.6541768458841617E-2</v>
      </c>
      <c r="J7" s="38">
        <f>SUMIFS('Analysis Data'!$H$2:$H$366,'Analysis Data'!$I$2:$I$366,B7,'Analysis Data'!$C$2:$C$366,"Yes")</f>
        <v>346288</v>
      </c>
      <c r="K7" s="38">
        <f>SUMIFS('Analysis Data'!$D$2:$D$366,'Analysis Data'!$I$2:$I$366,B7,'Analysis Data'!$C$2:$C$366,"Yes")</f>
        <v>45860</v>
      </c>
      <c r="L7" s="42">
        <f t="shared" si="3"/>
        <v>7.5509812472743132</v>
      </c>
      <c r="M7" s="38">
        <f>SUMIFS('Analysis Data'!$H$2:$H$366,'Analysis Data'!$I$2:$I$366,B7,'Analysis Data'!$C$2:$C$366,"No")</f>
        <v>22519</v>
      </c>
      <c r="N7" s="38">
        <f>_xlfn.MAXIFS('Daily Energy'!$I$2:$I$366,'Analysis Data'!$I$2:$I$366,B7)</f>
        <v>517</v>
      </c>
      <c r="O7" s="38">
        <f>SUMIFS('Daily Energy'!$J$2:$J$366,'Analysis Data'!$I$2:$I$366,B7)</f>
        <v>28</v>
      </c>
      <c r="P7" s="47">
        <f>AVERAGEIFS('Analysis Data'!$E$2:$E$366,'Analysis Data'!$I$2:$I$366,B7,'Analysis Data'!$C$2:$C$366,"Yes")</f>
        <v>32.107999999999997</v>
      </c>
    </row>
    <row r="8" spans="1:16" x14ac:dyDescent="0.25">
      <c r="A8" s="45" t="str">
        <f t="shared" si="0"/>
        <v>Jul-25</v>
      </c>
      <c r="B8" s="46">
        <f t="shared" si="4"/>
        <v>45839</v>
      </c>
      <c r="C8" s="23">
        <f>COUNTIF('Analysis Data'!$I$2:$I$366,B8)</f>
        <v>31</v>
      </c>
      <c r="D8" s="23">
        <f>COUNTIFS('Analysis Data'!$I$2:$I$366,B8,'Analysis Data'!$C$2:$C$366,"Yes")</f>
        <v>27</v>
      </c>
      <c r="E8" s="23">
        <f>COUNTIFS('Analysis Data'!$I$2:$I$366,B8,'Analysis Data'!$C$2:$C$366,"No")</f>
        <v>4</v>
      </c>
      <c r="F8" s="38">
        <f>SUMIFS('Analysis Data'!$F$2:$F$366,'Analysis Data'!$I$2:$I$366,B8)</f>
        <v>367272</v>
      </c>
      <c r="G8" s="38">
        <f>SUMIFS('Analysis Data'!$G$2:$G$366,'Analysis Data'!$I$2:$I$366,B8)</f>
        <v>20161</v>
      </c>
      <c r="H8" s="38">
        <f t="shared" si="1"/>
        <v>387433</v>
      </c>
      <c r="I8" s="43">
        <f t="shared" si="2"/>
        <v>5.2037384528421687E-2</v>
      </c>
      <c r="J8" s="38">
        <f>SUMIFS('Analysis Data'!$H$2:$H$366,'Analysis Data'!$I$2:$I$366,B8,'Analysis Data'!$C$2:$C$366,"Yes")</f>
        <v>371065</v>
      </c>
      <c r="K8" s="38">
        <f>SUMIFS('Analysis Data'!$D$2:$D$366,'Analysis Data'!$I$2:$I$366,B8,'Analysis Data'!$C$2:$C$366,"Yes")</f>
        <v>48649</v>
      </c>
      <c r="L8" s="42">
        <f t="shared" si="3"/>
        <v>7.6273921355012435</v>
      </c>
      <c r="M8" s="38">
        <f>SUMIFS('Analysis Data'!$H$2:$H$366,'Analysis Data'!$I$2:$I$366,B8,'Analysis Data'!$C$2:$C$366,"No")</f>
        <v>16368</v>
      </c>
      <c r="N8" s="38">
        <f>_xlfn.MAXIFS('Daily Energy'!$I$2:$I$366,'Analysis Data'!$I$2:$I$366,B8)</f>
        <v>516</v>
      </c>
      <c r="O8" s="38">
        <f>SUMIFS('Daily Energy'!$J$2:$J$366,'Analysis Data'!$I$2:$I$366,B8)</f>
        <v>33</v>
      </c>
      <c r="P8" s="47">
        <f>AVERAGEIFS('Analysis Data'!$E$2:$E$366,'Analysis Data'!$I$2:$I$366,B8,'Analysis Data'!$C$2:$C$366,"Yes")</f>
        <v>32.892592592592592</v>
      </c>
    </row>
    <row r="9" spans="1:16" x14ac:dyDescent="0.25">
      <c r="A9" s="45" t="str">
        <f t="shared" si="0"/>
        <v>Aug-25</v>
      </c>
      <c r="B9" s="46">
        <f t="shared" si="4"/>
        <v>45870</v>
      </c>
      <c r="C9" s="23">
        <f>COUNTIF('Analysis Data'!$I$2:$I$366,B9)</f>
        <v>31</v>
      </c>
      <c r="D9" s="23">
        <f>COUNTIFS('Analysis Data'!$I$2:$I$366,B9,'Analysis Data'!$C$2:$C$366,"Yes")</f>
        <v>26</v>
      </c>
      <c r="E9" s="23">
        <f>COUNTIFS('Analysis Data'!$I$2:$I$366,B9,'Analysis Data'!$C$2:$C$366,"No")</f>
        <v>5</v>
      </c>
      <c r="F9" s="38">
        <f>SUMIFS('Analysis Data'!$F$2:$F$366,'Analysis Data'!$I$2:$I$366,B9)</f>
        <v>358530</v>
      </c>
      <c r="G9" s="38">
        <f>SUMIFS('Analysis Data'!$G$2:$G$366,'Analysis Data'!$I$2:$I$366,B9)</f>
        <v>22863</v>
      </c>
      <c r="H9" s="38">
        <f t="shared" si="1"/>
        <v>381393</v>
      </c>
      <c r="I9" s="43">
        <f t="shared" si="2"/>
        <v>5.9946039911587264E-2</v>
      </c>
      <c r="J9" s="38">
        <f>SUMIFS('Analysis Data'!$H$2:$H$366,'Analysis Data'!$I$2:$I$366,B9,'Analysis Data'!$C$2:$C$366,"Yes")</f>
        <v>360383</v>
      </c>
      <c r="K9" s="38">
        <f>SUMIFS('Analysis Data'!$D$2:$D$366,'Analysis Data'!$I$2:$I$366,B9,'Analysis Data'!$C$2:$C$366,"Yes")</f>
        <v>47568</v>
      </c>
      <c r="L9" s="42">
        <f t="shared" si="3"/>
        <v>7.5761646485031955</v>
      </c>
      <c r="M9" s="38">
        <f>SUMIFS('Analysis Data'!$H$2:$H$366,'Analysis Data'!$I$2:$I$366,B9,'Analysis Data'!$C$2:$C$366,"No")</f>
        <v>21010</v>
      </c>
      <c r="N9" s="38">
        <f>_xlfn.MAXIFS('Daily Energy'!$I$2:$I$366,'Analysis Data'!$I$2:$I$366,B9)</f>
        <v>511</v>
      </c>
      <c r="O9" s="38">
        <f>SUMIFS('Daily Energy'!$J$2:$J$366,'Analysis Data'!$I$2:$I$366,B9)</f>
        <v>24</v>
      </c>
      <c r="P9" s="47">
        <f>AVERAGEIFS('Analysis Data'!$E$2:$E$366,'Analysis Data'!$I$2:$I$366,B9,'Analysis Data'!$C$2:$C$366,"Yes")</f>
        <v>32.184615384615384</v>
      </c>
    </row>
    <row r="10" spans="1:16" x14ac:dyDescent="0.25">
      <c r="A10" s="45" t="str">
        <f t="shared" si="0"/>
        <v>Sep-25</v>
      </c>
      <c r="B10" s="46">
        <f t="shared" si="4"/>
        <v>45901</v>
      </c>
      <c r="C10" s="23">
        <f>COUNTIF('Analysis Data'!$I$2:$I$366,B10)</f>
        <v>30</v>
      </c>
      <c r="D10" s="23">
        <f>COUNTIFS('Analysis Data'!$I$2:$I$366,B10,'Analysis Data'!$C$2:$C$366,"Yes")</f>
        <v>26</v>
      </c>
      <c r="E10" s="23">
        <f>COUNTIFS('Analysis Data'!$I$2:$I$366,B10,'Analysis Data'!$C$2:$C$366,"No")</f>
        <v>4</v>
      </c>
      <c r="F10" s="38">
        <f>SUMIFS('Analysis Data'!$F$2:$F$366,'Analysis Data'!$I$2:$I$366,B10)</f>
        <v>344162</v>
      </c>
      <c r="G10" s="38">
        <f>SUMIFS('Analysis Data'!$G$2:$G$366,'Analysis Data'!$I$2:$I$366,B10)</f>
        <v>20423</v>
      </c>
      <c r="H10" s="38">
        <f t="shared" si="1"/>
        <v>364585</v>
      </c>
      <c r="I10" s="43">
        <f t="shared" si="2"/>
        <v>5.6017115350329827E-2</v>
      </c>
      <c r="J10" s="38">
        <f>SUMIFS('Analysis Data'!$H$2:$H$366,'Analysis Data'!$I$2:$I$366,B10,'Analysis Data'!$C$2:$C$366,"Yes")</f>
        <v>348929</v>
      </c>
      <c r="K10" s="38">
        <f>SUMIFS('Analysis Data'!$D$2:$D$366,'Analysis Data'!$I$2:$I$366,B10,'Analysis Data'!$C$2:$C$366,"Yes")</f>
        <v>46991</v>
      </c>
      <c r="L10" s="42">
        <f t="shared" si="3"/>
        <v>7.4254431699687178</v>
      </c>
      <c r="M10" s="38">
        <f>SUMIFS('Analysis Data'!$H$2:$H$366,'Analysis Data'!$I$2:$I$366,B10,'Analysis Data'!$C$2:$C$366,"No")</f>
        <v>15656</v>
      </c>
      <c r="N10" s="38">
        <f>_xlfn.MAXIFS('Daily Energy'!$I$2:$I$366,'Analysis Data'!$I$2:$I$366,B10)</f>
        <v>519</v>
      </c>
      <c r="O10" s="38">
        <f>SUMIFS('Daily Energy'!$J$2:$J$366,'Analysis Data'!$I$2:$I$366,B10)</f>
        <v>27</v>
      </c>
      <c r="P10" s="47">
        <f>AVERAGEIFS('Analysis Data'!$E$2:$E$366,'Analysis Data'!$I$2:$I$366,B10,'Analysis Data'!$C$2:$C$366,"Yes")</f>
        <v>30.35</v>
      </c>
    </row>
    <row r="11" spans="1:16" x14ac:dyDescent="0.25">
      <c r="A11" s="45" t="str">
        <f t="shared" si="0"/>
        <v>Oct-25</v>
      </c>
      <c r="B11" s="46">
        <f t="shared" si="4"/>
        <v>45931</v>
      </c>
      <c r="C11" s="23">
        <f>COUNTIF('Analysis Data'!$I$2:$I$366,B11)</f>
        <v>31</v>
      </c>
      <c r="D11" s="23">
        <f>COUNTIFS('Analysis Data'!$I$2:$I$366,B11,'Analysis Data'!$C$2:$C$366,"Yes")</f>
        <v>27</v>
      </c>
      <c r="E11" s="23">
        <f>COUNTIFS('Analysis Data'!$I$2:$I$366,B11,'Analysis Data'!$C$2:$C$366,"No")</f>
        <v>4</v>
      </c>
      <c r="F11" s="38">
        <f>SUMIFS('Analysis Data'!$F$2:$F$366,'Analysis Data'!$I$2:$I$366,B11)</f>
        <v>340717</v>
      </c>
      <c r="G11" s="38">
        <f>SUMIFS('Analysis Data'!$G$2:$G$366,'Analysis Data'!$I$2:$I$366,B11)</f>
        <v>49162</v>
      </c>
      <c r="H11" s="38">
        <f t="shared" si="1"/>
        <v>389879</v>
      </c>
      <c r="I11" s="43">
        <f t="shared" si="2"/>
        <v>0.12609553220358111</v>
      </c>
      <c r="J11" s="38">
        <f>SUMIFS('Analysis Data'!$H$2:$H$366,'Analysis Data'!$I$2:$I$366,B11,'Analysis Data'!$C$2:$C$366,"Yes")</f>
        <v>373465</v>
      </c>
      <c r="K11" s="38">
        <f>SUMIFS('Analysis Data'!$D$2:$D$366,'Analysis Data'!$I$2:$I$366,B11,'Analysis Data'!$C$2:$C$366,"Yes")</f>
        <v>49376</v>
      </c>
      <c r="L11" s="42">
        <f t="shared" si="3"/>
        <v>7.563694912508101</v>
      </c>
      <c r="M11" s="38">
        <f>SUMIFS('Analysis Data'!$H$2:$H$366,'Analysis Data'!$I$2:$I$366,B11,'Analysis Data'!$C$2:$C$366,"No")</f>
        <v>16414</v>
      </c>
      <c r="N11" s="38">
        <f>_xlfn.MAXIFS('Daily Energy'!$I$2:$I$366,'Analysis Data'!$I$2:$I$366,B11)</f>
        <v>513</v>
      </c>
      <c r="O11" s="38">
        <f>SUMIFS('Daily Energy'!$J$2:$J$366,'Analysis Data'!$I$2:$I$366,B11)</f>
        <v>36</v>
      </c>
      <c r="P11" s="47">
        <f>AVERAGEIFS('Analysis Data'!$E$2:$E$366,'Analysis Data'!$I$2:$I$366,B11,'Analysis Data'!$C$2:$C$366,"Yes")</f>
        <v>27.477777777777778</v>
      </c>
    </row>
    <row r="12" spans="1:16" x14ac:dyDescent="0.25">
      <c r="A12" s="45" t="str">
        <f t="shared" si="0"/>
        <v>Nov-25</v>
      </c>
      <c r="B12" s="46">
        <f t="shared" si="4"/>
        <v>45962</v>
      </c>
      <c r="C12" s="23">
        <f>COUNTIF('Analysis Data'!$I$2:$I$366,B12)</f>
        <v>30</v>
      </c>
      <c r="D12" s="23">
        <f>COUNTIFS('Analysis Data'!$I$2:$I$366,B12,'Analysis Data'!$C$2:$C$366,"Yes")</f>
        <v>25</v>
      </c>
      <c r="E12" s="23">
        <f>COUNTIFS('Analysis Data'!$I$2:$I$366,B12,'Analysis Data'!$C$2:$C$366,"No")</f>
        <v>5</v>
      </c>
      <c r="F12" s="38">
        <f>SUMIFS('Analysis Data'!$F$2:$F$366,'Analysis Data'!$I$2:$I$366,B12)</f>
        <v>309370</v>
      </c>
      <c r="G12" s="38">
        <f>SUMIFS('Analysis Data'!$G$2:$G$366,'Analysis Data'!$I$2:$I$366,B12)</f>
        <v>48512</v>
      </c>
      <c r="H12" s="38">
        <f t="shared" si="1"/>
        <v>357882</v>
      </c>
      <c r="I12" s="43">
        <f t="shared" si="2"/>
        <v>0.13555305938828999</v>
      </c>
      <c r="J12" s="38">
        <f>SUMIFS('Analysis Data'!$H$2:$H$366,'Analysis Data'!$I$2:$I$366,B12,'Analysis Data'!$C$2:$C$366,"Yes")</f>
        <v>337356</v>
      </c>
      <c r="K12" s="38">
        <f>SUMIFS('Analysis Data'!$D$2:$D$366,'Analysis Data'!$I$2:$I$366,B12,'Analysis Data'!$C$2:$C$366,"Yes")</f>
        <v>45012</v>
      </c>
      <c r="L12" s="42">
        <f t="shared" si="3"/>
        <v>7.4948013862969871</v>
      </c>
      <c r="M12" s="38">
        <f>SUMIFS('Analysis Data'!$H$2:$H$366,'Analysis Data'!$I$2:$I$366,B12,'Analysis Data'!$C$2:$C$366,"No")</f>
        <v>20526</v>
      </c>
      <c r="N12" s="38">
        <f>_xlfn.MAXIFS('Daily Energy'!$I$2:$I$366,'Analysis Data'!$I$2:$I$366,B12)</f>
        <v>514</v>
      </c>
      <c r="O12" s="38">
        <f>SUMIFS('Daily Energy'!$J$2:$J$366,'Analysis Data'!$I$2:$I$366,B12)</f>
        <v>37</v>
      </c>
      <c r="P12" s="47">
        <f>AVERAGEIFS('Analysis Data'!$E$2:$E$366,'Analysis Data'!$I$2:$I$366,B12,'Analysis Data'!$C$2:$C$366,"Yes")</f>
        <v>24.300000000000004</v>
      </c>
    </row>
    <row r="13" spans="1:16" x14ac:dyDescent="0.25">
      <c r="A13" s="45" t="str">
        <f t="shared" si="0"/>
        <v>Dec-25</v>
      </c>
      <c r="B13" s="46">
        <f t="shared" si="4"/>
        <v>45992</v>
      </c>
      <c r="C13" s="23">
        <f>COUNTIF('Analysis Data'!$I$2:$I$366,B13)</f>
        <v>31</v>
      </c>
      <c r="D13" s="23">
        <f>COUNTIFS('Analysis Data'!$I$2:$I$366,B13,'Analysis Data'!$C$2:$C$366,"Yes")</f>
        <v>27</v>
      </c>
      <c r="E13" s="23">
        <f>COUNTIFS('Analysis Data'!$I$2:$I$366,B13,'Analysis Data'!$C$2:$C$366,"No")</f>
        <v>4</v>
      </c>
      <c r="F13" s="38">
        <f>SUMIFS('Analysis Data'!$F$2:$F$366,'Analysis Data'!$I$2:$I$366,B13)</f>
        <v>331060</v>
      </c>
      <c r="G13" s="38">
        <f>SUMIFS('Analysis Data'!$G$2:$G$366,'Analysis Data'!$I$2:$I$366,B13)</f>
        <v>48525</v>
      </c>
      <c r="H13" s="38">
        <f t="shared" si="1"/>
        <v>379585</v>
      </c>
      <c r="I13" s="43">
        <f t="shared" si="2"/>
        <v>0.1278369798595835</v>
      </c>
      <c r="J13" s="38">
        <f>SUMIFS('Analysis Data'!$H$2:$H$366,'Analysis Data'!$I$2:$I$366,B13,'Analysis Data'!$C$2:$C$366,"Yes")</f>
        <v>362317</v>
      </c>
      <c r="K13" s="38">
        <f>SUMIFS('Analysis Data'!$D$2:$D$366,'Analysis Data'!$I$2:$I$366,B13,'Analysis Data'!$C$2:$C$366,"Yes")</f>
        <v>48375</v>
      </c>
      <c r="L13" s="42">
        <f t="shared" si="3"/>
        <v>7.489757105943152</v>
      </c>
      <c r="M13" s="38">
        <f>SUMIFS('Analysis Data'!$H$2:$H$366,'Analysis Data'!$I$2:$I$366,B13,'Analysis Data'!$C$2:$C$366,"No")</f>
        <v>17268</v>
      </c>
      <c r="N13" s="38">
        <f>_xlfn.MAXIFS('Daily Energy'!$I$2:$I$366,'Analysis Data'!$I$2:$I$366,B13)</f>
        <v>493</v>
      </c>
      <c r="O13" s="38">
        <f>SUMIFS('Daily Energy'!$J$2:$J$366,'Analysis Data'!$I$2:$I$366,B13)</f>
        <v>31</v>
      </c>
      <c r="P13" s="47">
        <f>AVERAGEIFS('Analysis Data'!$E$2:$E$366,'Analysis Data'!$I$2:$I$366,B13,'Analysis Data'!$C$2:$C$366,"Yes")</f>
        <v>22.359259259259261</v>
      </c>
    </row>
    <row r="14" spans="1:16" x14ac:dyDescent="0.25">
      <c r="A14" s="45" t="str">
        <f t="shared" si="0"/>
        <v>Jan-26</v>
      </c>
      <c r="B14" s="46">
        <f t="shared" si="4"/>
        <v>46023</v>
      </c>
      <c r="C14" s="23">
        <f>COUNTIF('Analysis Data'!$I$2:$I$366,B14)</f>
        <v>31</v>
      </c>
      <c r="D14" s="23">
        <f>COUNTIFS('Analysis Data'!$I$2:$I$366,B14,'Analysis Data'!$C$2:$C$366,"Yes")</f>
        <v>27</v>
      </c>
      <c r="E14" s="23">
        <f>COUNTIFS('Analysis Data'!$I$2:$I$366,B14,'Analysis Data'!$C$2:$C$366,"No")</f>
        <v>4</v>
      </c>
      <c r="F14" s="38">
        <f>SUMIFS('Analysis Data'!$F$2:$F$366,'Analysis Data'!$I$2:$I$366,B14)</f>
        <v>324131</v>
      </c>
      <c r="G14" s="38">
        <f>SUMIFS('Analysis Data'!$G$2:$G$366,'Analysis Data'!$I$2:$I$366,B14)</f>
        <v>48181</v>
      </c>
      <c r="H14" s="38">
        <f t="shared" si="1"/>
        <v>372312</v>
      </c>
      <c r="I14" s="43">
        <f t="shared" si="2"/>
        <v>0.12941027955048454</v>
      </c>
      <c r="J14" s="38">
        <f>SUMIFS('Analysis Data'!$H$2:$H$366,'Analysis Data'!$I$2:$I$366,B14,'Analysis Data'!$C$2:$C$366,"Yes")</f>
        <v>355777</v>
      </c>
      <c r="K14" s="38">
        <f>SUMIFS('Analysis Data'!$D$2:$D$366,'Analysis Data'!$I$2:$I$366,B14,'Analysis Data'!$C$2:$C$366,"Yes")</f>
        <v>48268</v>
      </c>
      <c r="L14" s="42">
        <f t="shared" si="3"/>
        <v>7.3708668268832351</v>
      </c>
      <c r="M14" s="38">
        <f>SUMIFS('Analysis Data'!$H$2:$H$366,'Analysis Data'!$I$2:$I$366,B14,'Analysis Data'!$C$2:$C$366,"No")</f>
        <v>16535</v>
      </c>
      <c r="N14" s="38">
        <f>_xlfn.MAXIFS('Daily Energy'!$I$2:$I$366,'Analysis Data'!$I$2:$I$366,B14)</f>
        <v>515</v>
      </c>
      <c r="O14" s="38">
        <f>SUMIFS('Daily Energy'!$J$2:$J$366,'Analysis Data'!$I$2:$I$366,B14)</f>
        <v>30</v>
      </c>
      <c r="P14" s="47">
        <f>AVERAGEIFS('Analysis Data'!$E$2:$E$366,'Analysis Data'!$I$2:$I$366,B14,'Analysis Data'!$C$2:$C$366,"Yes")</f>
        <v>21.011111111111109</v>
      </c>
    </row>
    <row r="15" spans="1:16" x14ac:dyDescent="0.25">
      <c r="A15" s="45" t="str">
        <f t="shared" si="0"/>
        <v>Feb-26</v>
      </c>
      <c r="B15" s="46">
        <f t="shared" si="4"/>
        <v>46054</v>
      </c>
      <c r="C15" s="23">
        <f>COUNTIF('Analysis Data'!$I$2:$I$366,B15)</f>
        <v>28</v>
      </c>
      <c r="D15" s="23">
        <f>COUNTIFS('Analysis Data'!$I$2:$I$366,B15,'Analysis Data'!$C$2:$C$366,"Yes")</f>
        <v>24</v>
      </c>
      <c r="E15" s="23">
        <f>COUNTIFS('Analysis Data'!$I$2:$I$366,B15,'Analysis Data'!$C$2:$C$366,"No")</f>
        <v>4</v>
      </c>
      <c r="F15" s="38">
        <f>SUMIFS('Analysis Data'!$F$2:$F$366,'Analysis Data'!$I$2:$I$366,B15)</f>
        <v>293591</v>
      </c>
      <c r="G15" s="38">
        <f>SUMIFS('Analysis Data'!$G$2:$G$366,'Analysis Data'!$I$2:$I$366,B15)</f>
        <v>45484</v>
      </c>
      <c r="H15" s="38">
        <f t="shared" si="1"/>
        <v>339075</v>
      </c>
      <c r="I15" s="43">
        <f t="shared" si="2"/>
        <v>0.13414141414141414</v>
      </c>
      <c r="J15" s="38">
        <f>SUMIFS('Analysis Data'!$H$2:$H$366,'Analysis Data'!$I$2:$I$366,B15,'Analysis Data'!$C$2:$C$366,"Yes")</f>
        <v>323024</v>
      </c>
      <c r="K15" s="38">
        <f>SUMIFS('Analysis Data'!$D$2:$D$366,'Analysis Data'!$I$2:$I$366,B15,'Analysis Data'!$C$2:$C$366,"Yes")</f>
        <v>43270</v>
      </c>
      <c r="L15" s="42">
        <f t="shared" si="3"/>
        <v>7.4653108389184188</v>
      </c>
      <c r="M15" s="38">
        <f>SUMIFS('Analysis Data'!$H$2:$H$366,'Analysis Data'!$I$2:$I$366,B15,'Analysis Data'!$C$2:$C$366,"No")</f>
        <v>16051</v>
      </c>
      <c r="N15" s="38">
        <f>_xlfn.MAXIFS('Daily Energy'!$I$2:$I$366,'Analysis Data'!$I$2:$I$366,B15)</f>
        <v>520</v>
      </c>
      <c r="O15" s="38">
        <f>SUMIFS('Daily Energy'!$J$2:$J$366,'Analysis Data'!$I$2:$I$366,B15)</f>
        <v>27</v>
      </c>
      <c r="P15" s="47">
        <f>AVERAGEIFS('Analysis Data'!$E$2:$E$366,'Analysis Data'!$I$2:$I$366,B15,'Analysis Data'!$C$2:$C$366,"Yes")</f>
        <v>21.408333333333331</v>
      </c>
    </row>
    <row r="16" spans="1:16" x14ac:dyDescent="0.25">
      <c r="A16" s="45" t="str">
        <f t="shared" si="0"/>
        <v>Mar-26</v>
      </c>
      <c r="B16" s="46">
        <f t="shared" si="4"/>
        <v>46082</v>
      </c>
      <c r="C16" s="23">
        <f>COUNTIF('Analysis Data'!$I$2:$I$366,B16)</f>
        <v>31</v>
      </c>
      <c r="D16" s="23">
        <f>COUNTIFS('Analysis Data'!$I$2:$I$366,B16,'Analysis Data'!$C$2:$C$366,"Yes")</f>
        <v>26</v>
      </c>
      <c r="E16" s="23">
        <f>COUNTIFS('Analysis Data'!$I$2:$I$366,B16,'Analysis Data'!$C$2:$C$366,"No")</f>
        <v>5</v>
      </c>
      <c r="F16" s="38">
        <f>SUMIFS('Analysis Data'!$F$2:$F$366,'Analysis Data'!$I$2:$I$366,B16)</f>
        <v>327886</v>
      </c>
      <c r="G16" s="38">
        <f>SUMIFS('Analysis Data'!$G$2:$G$366,'Analysis Data'!$I$2:$I$366,B16)</f>
        <v>52322</v>
      </c>
      <c r="H16" s="38">
        <f t="shared" si="1"/>
        <v>380208</v>
      </c>
      <c r="I16" s="43">
        <f t="shared" si="2"/>
        <v>0.13761414804528047</v>
      </c>
      <c r="J16" s="38">
        <f>SUMIFS('Analysis Data'!$H$2:$H$366,'Analysis Data'!$I$2:$I$366,B16,'Analysis Data'!$C$2:$C$366,"Yes")</f>
        <v>359010</v>
      </c>
      <c r="K16" s="38">
        <f>SUMIFS('Analysis Data'!$D$2:$D$366,'Analysis Data'!$I$2:$I$366,B16,'Analysis Data'!$C$2:$C$366,"Yes")</f>
        <v>47529</v>
      </c>
      <c r="L16" s="42">
        <f t="shared" si="3"/>
        <v>7.5534936565044495</v>
      </c>
      <c r="M16" s="38">
        <f>SUMIFS('Analysis Data'!$H$2:$H$366,'Analysis Data'!$I$2:$I$366,B16,'Analysis Data'!$C$2:$C$366,"No")</f>
        <v>21198</v>
      </c>
      <c r="N16" s="38">
        <f>_xlfn.MAXIFS('Daily Energy'!$I$2:$I$366,'Analysis Data'!$I$2:$I$366,B16)</f>
        <v>517</v>
      </c>
      <c r="O16" s="38">
        <f>SUMIFS('Daily Energy'!$J$2:$J$366,'Analysis Data'!$I$2:$I$366,B16)</f>
        <v>30</v>
      </c>
      <c r="P16" s="47">
        <f>AVERAGEIFS('Analysis Data'!$E$2:$E$366,'Analysis Data'!$I$2:$I$366,B16,'Analysis Data'!$C$2:$C$366,"Yes")</f>
        <v>24.061538461538458</v>
      </c>
    </row>
    <row r="17" spans="1:16" x14ac:dyDescent="0.25">
      <c r="A17" s="48" t="s">
        <v>242</v>
      </c>
      <c r="B17" s="49"/>
      <c r="C17" s="50">
        <f t="shared" ref="C17:H17" si="5">SUM(C5:C16)</f>
        <v>365</v>
      </c>
      <c r="D17" s="50">
        <f t="shared" si="5"/>
        <v>313</v>
      </c>
      <c r="E17" s="50">
        <f t="shared" si="5"/>
        <v>52</v>
      </c>
      <c r="F17" s="51">
        <f t="shared" si="5"/>
        <v>4014871</v>
      </c>
      <c r="G17" s="51">
        <f t="shared" si="5"/>
        <v>474768</v>
      </c>
      <c r="H17" s="51">
        <f t="shared" si="5"/>
        <v>4489639</v>
      </c>
      <c r="I17" s="52">
        <f>G17/H17</f>
        <v>0.10574747769252717</v>
      </c>
      <c r="J17" s="51">
        <f>SUM(J5:J16)</f>
        <v>4271630</v>
      </c>
      <c r="K17" s="51">
        <f>SUM(K5:K16)</f>
        <v>566026</v>
      </c>
      <c r="L17" s="53">
        <f>J17/K17</f>
        <v>7.5467028016380873</v>
      </c>
      <c r="M17" s="51">
        <f>SUM(M5:M16)</f>
        <v>218009</v>
      </c>
      <c r="N17" s="51">
        <f>MAX(N5:N16)</f>
        <v>520</v>
      </c>
      <c r="O17" s="51">
        <f>SUM(O5:O16)</f>
        <v>364</v>
      </c>
      <c r="P17" s="54">
        <f>AVERAGEIFS('Analysis Data'!$E$2:$E$366,'Analysis Data'!$C$2:$C$366,"Yes")</f>
        <v>27.072204472843456</v>
      </c>
    </row>
    <row r="19" spans="1:16" x14ac:dyDescent="0.25">
      <c r="A19" s="20" t="s">
        <v>243</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3"/>
  <sheetViews>
    <sheetView showGridLines="0" topLeftCell="A18" zoomScaleNormal="100" workbookViewId="0"/>
  </sheetViews>
  <sheetFormatPr defaultColWidth="8.6640625" defaultRowHeight="13.2" x14ac:dyDescent="0.25"/>
  <cols>
    <col min="1" max="1" width="44" customWidth="1"/>
    <col min="2" max="2" width="16" customWidth="1"/>
    <col min="3" max="3" width="80" customWidth="1"/>
  </cols>
  <sheetData>
    <row r="1" spans="1:3" ht="19.2" x14ac:dyDescent="0.35">
      <c r="A1" s="19" t="s">
        <v>244</v>
      </c>
    </row>
    <row r="2" spans="1:3" x14ac:dyDescent="0.25">
      <c r="A2" s="20" t="s">
        <v>245</v>
      </c>
    </row>
    <row r="3" spans="1:3" x14ac:dyDescent="0.25">
      <c r="A3" s="55" t="s">
        <v>246</v>
      </c>
      <c r="B3" s="1"/>
      <c r="C3" s="1"/>
    </row>
    <row r="4" spans="1:3" x14ac:dyDescent="0.25">
      <c r="A4" s="56" t="s">
        <v>247</v>
      </c>
      <c r="B4" s="57">
        <v>0.95</v>
      </c>
      <c r="C4" s="58" t="s">
        <v>248</v>
      </c>
    </row>
    <row r="5" spans="1:3" x14ac:dyDescent="0.25">
      <c r="A5" s="56" t="s">
        <v>249</v>
      </c>
      <c r="B5" s="59">
        <f>PERCENTILE('Analysis Data'!$J$2:$J$366,B4)</f>
        <v>4687.6999999999989</v>
      </c>
      <c r="C5" s="58" t="s">
        <v>250</v>
      </c>
    </row>
    <row r="6" spans="1:3" x14ac:dyDescent="0.25">
      <c r="A6" s="56" t="s">
        <v>157</v>
      </c>
      <c r="B6" s="60">
        <f>COUNT('Analysis Data'!$J$2:$J$366)</f>
        <v>52</v>
      </c>
      <c r="C6" s="58"/>
    </row>
    <row r="7" spans="1:3" x14ac:dyDescent="0.25">
      <c r="A7" s="56" t="s">
        <v>251</v>
      </c>
      <c r="B7" s="60">
        <f>SUM('Analysis Data'!$L$2:$L$366)</f>
        <v>3</v>
      </c>
      <c r="C7" s="58" t="s">
        <v>252</v>
      </c>
    </row>
    <row r="8" spans="1:3" x14ac:dyDescent="0.25">
      <c r="A8" s="56" t="s">
        <v>253</v>
      </c>
      <c r="B8" s="59">
        <f>AVERAGE('Analysis Data'!$J$2:$J$366)</f>
        <v>4192.4807692307695</v>
      </c>
      <c r="C8" s="58"/>
    </row>
    <row r="9" spans="1:3" x14ac:dyDescent="0.25">
      <c r="A9" s="56" t="s">
        <v>254</v>
      </c>
      <c r="B9" s="59">
        <f>MEDIAN('Analysis Data'!$J$2:$J$366)</f>
        <v>4230.5</v>
      </c>
      <c r="C9" s="58"/>
    </row>
    <row r="10" spans="1:3" x14ac:dyDescent="0.25">
      <c r="A10" s="56" t="s">
        <v>255</v>
      </c>
      <c r="B10" s="61">
        <f>MAX('Analysis Data'!$J$2:$J$366)</f>
        <v>5179</v>
      </c>
      <c r="C10" s="58"/>
    </row>
    <row r="11" spans="1:3" x14ac:dyDescent="0.25">
      <c r="A11" s="56" t="s">
        <v>256</v>
      </c>
      <c r="B11" s="59">
        <f>AVERAGE('Analysis Data'!$K$2:$K$366)</f>
        <v>13647.380191693292</v>
      </c>
      <c r="C11" s="58"/>
    </row>
    <row r="13" spans="1:3" x14ac:dyDescent="0.25">
      <c r="A13" s="55" t="s">
        <v>257</v>
      </c>
      <c r="B13" s="1"/>
      <c r="C13" s="1"/>
    </row>
    <row r="14" spans="1:3" x14ac:dyDescent="0.25">
      <c r="A14" s="56" t="s">
        <v>258</v>
      </c>
      <c r="B14" s="60">
        <f>COUNT('Analysis Data'!$T$2:$T$314)</f>
        <v>313</v>
      </c>
      <c r="C14" s="58" t="s">
        <v>259</v>
      </c>
    </row>
    <row r="15" spans="1:3" x14ac:dyDescent="0.25">
      <c r="A15" s="56" t="s">
        <v>260</v>
      </c>
      <c r="B15" s="62">
        <f>INDEX(LINEST('Analysis Data'!$T$2:$T$314,'Analysis Data'!$R$2:$S$314,TRUE(),TRUE()),1,1)</f>
        <v>39.787918890127109</v>
      </c>
      <c r="C15" s="58" t="s">
        <v>261</v>
      </c>
    </row>
    <row r="16" spans="1:3" x14ac:dyDescent="0.25">
      <c r="A16" s="56" t="s">
        <v>262</v>
      </c>
      <c r="B16" s="63">
        <f>INDEX(LINEST('Analysis Data'!$T$2:$T$314,'Analysis Data'!$R$2:$S$314,TRUE(),TRUE()),1,2)</f>
        <v>5.570427867434919</v>
      </c>
      <c r="C16" s="58"/>
    </row>
    <row r="17" spans="1:3" x14ac:dyDescent="0.25">
      <c r="A17" s="56" t="s">
        <v>263</v>
      </c>
      <c r="B17" s="59">
        <f>INDEX(LINEST('Analysis Data'!$T$2:$T$314,'Analysis Data'!$R$2:$S$314,TRUE(),TRUE()),1,3)</f>
        <v>2496.7287105428163</v>
      </c>
      <c r="C17" s="58"/>
    </row>
    <row r="18" spans="1:3" x14ac:dyDescent="0.25">
      <c r="A18" s="56" t="s">
        <v>264</v>
      </c>
      <c r="B18" s="63">
        <f>INDEX(LINEST('Analysis Data'!$T$2:$T$314,'Analysis Data'!$R$2:$S$314,TRUE(),TRUE()),2,1)</f>
        <v>5.668504139118034</v>
      </c>
      <c r="C18" s="58"/>
    </row>
    <row r="19" spans="1:3" x14ac:dyDescent="0.25">
      <c r="A19" s="56" t="s">
        <v>265</v>
      </c>
      <c r="B19" s="60">
        <f>INDEX(LINEST('Analysis Data'!$T$2:$T$314,'Analysis Data'!$R$2:$S$314,TRUE(),TRUE()),4,2)</f>
        <v>310</v>
      </c>
      <c r="C19" s="58"/>
    </row>
    <row r="20" spans="1:3" x14ac:dyDescent="0.25">
      <c r="A20" s="56" t="s">
        <v>266</v>
      </c>
      <c r="B20" s="64">
        <f>TINV(0.05,B19)</f>
        <v>1.9676459287778278</v>
      </c>
      <c r="C20" s="58"/>
    </row>
    <row r="21" spans="1:3" x14ac:dyDescent="0.25">
      <c r="A21" s="56" t="s">
        <v>267</v>
      </c>
      <c r="B21" s="62">
        <f>B15-B20*B18</f>
        <v>28.634309798531245</v>
      </c>
      <c r="C21" s="58"/>
    </row>
    <row r="22" spans="1:3" x14ac:dyDescent="0.25">
      <c r="A22" s="56" t="s">
        <v>268</v>
      </c>
      <c r="B22" s="62">
        <f>B15+B20*B18</f>
        <v>50.94152798172297</v>
      </c>
      <c r="C22" s="58"/>
    </row>
    <row r="23" spans="1:3" x14ac:dyDescent="0.25">
      <c r="A23" s="56" t="s">
        <v>269</v>
      </c>
      <c r="B23" s="63">
        <f>INDEX(LINEST('Analysis Data'!$T$2:$T$314,'Analysis Data'!$R$2:$S$314,TRUE(),TRUE()),3,1)</f>
        <v>0.76466562739638955</v>
      </c>
      <c r="C23" s="58" t="s">
        <v>270</v>
      </c>
    </row>
    <row r="24" spans="1:3" x14ac:dyDescent="0.25">
      <c r="A24" s="56" t="s">
        <v>271</v>
      </c>
      <c r="B24" s="63">
        <f>RSQ('Analysis Data'!$T$2:$T$314,'Analysis Data'!$S$2:$S$314)</f>
        <v>7.2069234239703142E-2</v>
      </c>
      <c r="C24" s="58" t="s">
        <v>272</v>
      </c>
    </row>
    <row r="25" spans="1:3" x14ac:dyDescent="0.25">
      <c r="A25" s="56" t="s">
        <v>273</v>
      </c>
      <c r="B25" s="62">
        <f>SLOPE('Analysis Data'!$T$2:$T$314,'Analysis Data'!$S$2:$S$314)</f>
        <v>55.01206360338665</v>
      </c>
      <c r="C25" s="58" t="s">
        <v>274</v>
      </c>
    </row>
    <row r="27" spans="1:3" x14ac:dyDescent="0.25">
      <c r="A27" s="55" t="s">
        <v>275</v>
      </c>
      <c r="B27" s="1"/>
      <c r="C27" s="1"/>
    </row>
    <row r="28" spans="1:3" x14ac:dyDescent="0.25">
      <c r="A28" s="133" t="s">
        <v>276</v>
      </c>
      <c r="B28" s="133"/>
      <c r="C28" s="133"/>
    </row>
    <row r="29" spans="1:3" x14ac:dyDescent="0.25">
      <c r="A29" s="133" t="s">
        <v>277</v>
      </c>
      <c r="B29" s="133"/>
      <c r="C29" s="133"/>
    </row>
    <row r="30" spans="1:3" x14ac:dyDescent="0.25">
      <c r="A30" s="133" t="s">
        <v>278</v>
      </c>
      <c r="B30" s="133"/>
      <c r="C30" s="133"/>
    </row>
    <row r="31" spans="1:3" x14ac:dyDescent="0.25">
      <c r="A31" s="133" t="s">
        <v>279</v>
      </c>
      <c r="B31" s="133"/>
      <c r="C31" s="133"/>
    </row>
    <row r="32" spans="1:3" x14ac:dyDescent="0.25">
      <c r="A32" s="133" t="s">
        <v>280</v>
      </c>
      <c r="B32" s="133"/>
      <c r="C32" s="133"/>
    </row>
    <row r="33" spans="1:3" x14ac:dyDescent="0.25">
      <c r="A33" s="133" t="s">
        <v>281</v>
      </c>
      <c r="B33" s="133"/>
      <c r="C33" s="133"/>
    </row>
  </sheetData>
  <mergeCells count="6">
    <mergeCell ref="A33:C33"/>
    <mergeCell ref="A28:C28"/>
    <mergeCell ref="A29:C29"/>
    <mergeCell ref="A30:C30"/>
    <mergeCell ref="A31:C31"/>
    <mergeCell ref="A32:C3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7"/>
  <sheetViews>
    <sheetView showGridLines="0" topLeftCell="A4" zoomScaleNormal="100" workbookViewId="0"/>
  </sheetViews>
  <sheetFormatPr defaultColWidth="8.6640625" defaultRowHeight="13.2" x14ac:dyDescent="0.25"/>
  <cols>
    <col min="1" max="1" width="8" customWidth="1"/>
    <col min="2" max="2" width="14" customWidth="1"/>
    <col min="3" max="3" width="12" customWidth="1"/>
    <col min="4" max="4" width="14" customWidth="1"/>
    <col min="5" max="5" width="20" customWidth="1"/>
    <col min="6" max="6" width="12" customWidth="1"/>
    <col min="7" max="7" width="16" customWidth="1"/>
    <col min="8" max="9" width="14" customWidth="1"/>
    <col min="10" max="10" width="16" customWidth="1"/>
    <col min="11" max="11" width="20" customWidth="1"/>
  </cols>
  <sheetData>
    <row r="1" spans="1:11" ht="19.2" x14ac:dyDescent="0.35">
      <c r="A1" s="19" t="s">
        <v>17</v>
      </c>
    </row>
    <row r="2" spans="1:11" x14ac:dyDescent="0.25">
      <c r="A2" s="20" t="s">
        <v>282</v>
      </c>
    </row>
    <row r="4" spans="1:11" ht="13.8" x14ac:dyDescent="0.25">
      <c r="A4" s="65" t="s">
        <v>283</v>
      </c>
      <c r="D4" s="66">
        <f>'Analysis Summary'!B5</f>
        <v>4687.6999999999989</v>
      </c>
    </row>
    <row r="5" spans="1:11" ht="13.8" x14ac:dyDescent="0.25">
      <c r="A5" s="65" t="s">
        <v>284</v>
      </c>
      <c r="D5" s="67">
        <f>'Analysis Summary'!B7</f>
        <v>3</v>
      </c>
    </row>
    <row r="6" spans="1:11" ht="13.8" x14ac:dyDescent="0.25">
      <c r="A6" s="65" t="s">
        <v>285</v>
      </c>
      <c r="D6" s="66">
        <f>'Analysis Summary'!B8</f>
        <v>4192.4807692307695</v>
      </c>
    </row>
    <row r="8" spans="1:11" ht="42" customHeight="1" x14ac:dyDescent="0.25">
      <c r="A8" s="21" t="s">
        <v>286</v>
      </c>
      <c r="B8" s="21" t="s">
        <v>21</v>
      </c>
      <c r="C8" s="21" t="s">
        <v>22</v>
      </c>
      <c r="D8" s="21" t="s">
        <v>233</v>
      </c>
      <c r="E8" s="21" t="s">
        <v>231</v>
      </c>
      <c r="F8" s="21" t="s">
        <v>232</v>
      </c>
      <c r="G8" s="21" t="s">
        <v>239</v>
      </c>
      <c r="H8" s="21" t="s">
        <v>287</v>
      </c>
      <c r="I8" s="21" t="s">
        <v>240</v>
      </c>
      <c r="J8" s="21" t="s">
        <v>288</v>
      </c>
      <c r="K8" s="21" t="s">
        <v>289</v>
      </c>
    </row>
    <row r="9" spans="1:11" x14ac:dyDescent="0.25">
      <c r="A9" s="68">
        <v>1</v>
      </c>
      <c r="B9" s="69">
        <f>INDEX('Analysis Data'!$A$2:$A$366,MATCH($A9,'Analysis Data'!$M$2:$M$366,0))</f>
        <v>45788</v>
      </c>
      <c r="C9" s="45" t="str">
        <f>INDEX('Analysis Data'!$B$2:$B$366,MATCH($A9,'Analysis Data'!$M$2:$M$366,0))</f>
        <v>Sunday</v>
      </c>
      <c r="D9" s="38">
        <f>INDEX('Analysis Data'!$H$2:$H$366,MATCH($A9,'Analysis Data'!$M$2:$M$366,0))</f>
        <v>4917</v>
      </c>
      <c r="E9" s="38">
        <f>INDEX('Analysis Data'!$F$2:$F$366,MATCH($A9,'Analysis Data'!$M$2:$M$366,0))</f>
        <v>3054</v>
      </c>
      <c r="F9" s="38">
        <f>INDEX('Analysis Data'!$G$2:$G$366,MATCH($A9,'Analysis Data'!$M$2:$M$366,0))</f>
        <v>1863</v>
      </c>
      <c r="G9" s="38">
        <f>INDEX('Daily Energy'!$I$2:$I$366,MATCH($A9,'Analysis Data'!$M$2:$M$366,0))</f>
        <v>448</v>
      </c>
      <c r="H9" s="47">
        <f>INDEX('Analysis Data'!$E$2:$E$366,MATCH($A9,'Analysis Data'!$M$2:$M$366,0))</f>
        <v>30.3</v>
      </c>
      <c r="I9" s="23">
        <f>INDEX('Daily Energy'!$J$2:$J$366,MATCH($A9,'Analysis Data'!$M$2:$M$366,0))</f>
        <v>2</v>
      </c>
      <c r="J9" s="44">
        <f>D9-$D$4</f>
        <v>229.30000000000109</v>
      </c>
      <c r="K9" s="43">
        <f>D9/$D$6-1</f>
        <v>0.17281396639588276</v>
      </c>
    </row>
    <row r="10" spans="1:11" x14ac:dyDescent="0.25">
      <c r="A10" s="68">
        <v>2</v>
      </c>
      <c r="B10" s="69">
        <f>INDEX('Analysis Data'!$A$2:$A$366,MATCH($A10,'Analysis Data'!$M$2:$M$366,0))</f>
        <v>45795</v>
      </c>
      <c r="C10" s="45" t="str">
        <f>INDEX('Analysis Data'!$B$2:$B$366,MATCH($A10,'Analysis Data'!$M$2:$M$366,0))</f>
        <v>Sunday</v>
      </c>
      <c r="D10" s="38">
        <f>INDEX('Analysis Data'!$H$2:$H$366,MATCH($A10,'Analysis Data'!$M$2:$M$366,0))</f>
        <v>4790</v>
      </c>
      <c r="E10" s="38">
        <f>INDEX('Analysis Data'!$F$2:$F$366,MATCH($A10,'Analysis Data'!$M$2:$M$366,0))</f>
        <v>3251</v>
      </c>
      <c r="F10" s="38">
        <f>INDEX('Analysis Data'!$G$2:$G$366,MATCH($A10,'Analysis Data'!$M$2:$M$366,0))</f>
        <v>1539</v>
      </c>
      <c r="G10" s="38">
        <f>INDEX('Daily Energy'!$I$2:$I$366,MATCH($A10,'Analysis Data'!$M$2:$M$366,0))</f>
        <v>381</v>
      </c>
      <c r="H10" s="47">
        <f>INDEX('Analysis Data'!$E$2:$E$366,MATCH($A10,'Analysis Data'!$M$2:$M$366,0))</f>
        <v>31.1</v>
      </c>
      <c r="I10" s="23">
        <f>INDEX('Daily Energy'!$J$2:$J$366,MATCH($A10,'Analysis Data'!$M$2:$M$366,0))</f>
        <v>2</v>
      </c>
      <c r="J10" s="44">
        <f>D10-$D$4</f>
        <v>102.30000000000109</v>
      </c>
      <c r="K10" s="43">
        <f>D10/$D$6-1</f>
        <v>0.14252163901490289</v>
      </c>
    </row>
    <row r="11" spans="1:11" x14ac:dyDescent="0.25">
      <c r="A11" s="68">
        <v>3</v>
      </c>
      <c r="B11" s="69">
        <f>INDEX('Analysis Data'!$A$2:$A$366,MATCH($A11,'Analysis Data'!$M$2:$M$366,0))</f>
        <v>45830</v>
      </c>
      <c r="C11" s="45" t="str">
        <f>INDEX('Analysis Data'!$B$2:$B$366,MATCH($A11,'Analysis Data'!$M$2:$M$366,0))</f>
        <v>Sunday</v>
      </c>
      <c r="D11" s="38">
        <f>INDEX('Analysis Data'!$H$2:$H$366,MATCH($A11,'Analysis Data'!$M$2:$M$366,0))</f>
        <v>5179</v>
      </c>
      <c r="E11" s="38">
        <f>INDEX('Analysis Data'!$F$2:$F$366,MATCH($A11,'Analysis Data'!$M$2:$M$366,0))</f>
        <v>4036</v>
      </c>
      <c r="F11" s="38">
        <f>INDEX('Analysis Data'!$G$2:$G$366,MATCH($A11,'Analysis Data'!$M$2:$M$366,0))</f>
        <v>1143</v>
      </c>
      <c r="G11" s="38">
        <f>INDEX('Daily Energy'!$I$2:$I$366,MATCH($A11,'Analysis Data'!$M$2:$M$366,0))</f>
        <v>432</v>
      </c>
      <c r="H11" s="47">
        <f>INDEX('Analysis Data'!$E$2:$E$366,MATCH($A11,'Analysis Data'!$M$2:$M$366,0))</f>
        <v>34.299999999999997</v>
      </c>
      <c r="I11" s="23">
        <f>INDEX('Daily Energy'!$J$2:$J$366,MATCH($A11,'Analysis Data'!$M$2:$M$366,0))</f>
        <v>2</v>
      </c>
      <c r="J11" s="44">
        <f>D11-$D$4</f>
        <v>491.30000000000109</v>
      </c>
      <c r="K11" s="43">
        <f>D11/$D$6-1</f>
        <v>0.23530679926058085</v>
      </c>
    </row>
    <row r="13" spans="1:11" x14ac:dyDescent="0.25">
      <c r="A13" s="20" t="s">
        <v>290</v>
      </c>
    </row>
    <row r="14" spans="1:11" x14ac:dyDescent="0.25">
      <c r="A14" s="20" t="s">
        <v>291</v>
      </c>
    </row>
    <row r="16" spans="1:11" x14ac:dyDescent="0.25">
      <c r="A16" s="31" t="s">
        <v>292</v>
      </c>
    </row>
    <row r="17" spans="1:5" ht="26.4" x14ac:dyDescent="0.25">
      <c r="A17" s="21" t="s">
        <v>293</v>
      </c>
      <c r="B17" s="21" t="s">
        <v>21</v>
      </c>
      <c r="C17" s="21" t="s">
        <v>22</v>
      </c>
      <c r="D17" s="21" t="s">
        <v>233</v>
      </c>
      <c r="E17" s="21" t="s">
        <v>294</v>
      </c>
    </row>
    <row r="18" spans="1:5" x14ac:dyDescent="0.25">
      <c r="A18" s="68">
        <v>1</v>
      </c>
      <c r="B18" s="70">
        <f>INDEX('Analysis Data'!$A$2:$A$366,MATCH(D18,'Analysis Data'!$J$2:$J$366,0))</f>
        <v>45830</v>
      </c>
      <c r="C18" s="45" t="str">
        <f>INDEX('Analysis Data'!$B$2:$B$366,MATCH(D18,'Analysis Data'!$J$2:$J$366,0))</f>
        <v>Sunday</v>
      </c>
      <c r="D18" s="71">
        <f>LARGE('Analysis Data'!$J$2:$J$366,A18)</f>
        <v>5179</v>
      </c>
      <c r="E18" s="45" t="str">
        <f t="shared" ref="E18:E27" si="0">IF(D18&gt;$D$4,"Potentially wasteful","—")</f>
        <v>Potentially wasteful</v>
      </c>
    </row>
    <row r="19" spans="1:5" x14ac:dyDescent="0.25">
      <c r="A19" s="68">
        <v>2</v>
      </c>
      <c r="B19" s="70">
        <f>INDEX('Analysis Data'!$A$2:$A$366,MATCH(D19,'Analysis Data'!$J$2:$J$366,0))</f>
        <v>45788</v>
      </c>
      <c r="C19" s="45" t="str">
        <f>INDEX('Analysis Data'!$B$2:$B$366,MATCH(D19,'Analysis Data'!$J$2:$J$366,0))</f>
        <v>Sunday</v>
      </c>
      <c r="D19" s="71">
        <f>LARGE('Analysis Data'!$J$2:$J$366,A19)</f>
        <v>4917</v>
      </c>
      <c r="E19" s="45" t="str">
        <f t="shared" si="0"/>
        <v>Potentially wasteful</v>
      </c>
    </row>
    <row r="20" spans="1:5" x14ac:dyDescent="0.25">
      <c r="A20" s="68">
        <v>3</v>
      </c>
      <c r="B20" s="70">
        <f>INDEX('Analysis Data'!$A$2:$A$366,MATCH(D20,'Analysis Data'!$J$2:$J$366,0))</f>
        <v>45795</v>
      </c>
      <c r="C20" s="45" t="str">
        <f>INDEX('Analysis Data'!$B$2:$B$366,MATCH(D20,'Analysis Data'!$J$2:$J$366,0))</f>
        <v>Sunday</v>
      </c>
      <c r="D20" s="71">
        <f>LARGE('Analysis Data'!$J$2:$J$366,A20)</f>
        <v>4790</v>
      </c>
      <c r="E20" s="45" t="str">
        <f t="shared" si="0"/>
        <v>Potentially wasteful</v>
      </c>
    </row>
    <row r="21" spans="1:5" x14ac:dyDescent="0.25">
      <c r="A21" s="68">
        <v>4</v>
      </c>
      <c r="B21" s="70">
        <f>INDEX('Analysis Data'!$A$2:$A$366,MATCH(D21,'Analysis Data'!$J$2:$J$366,0))</f>
        <v>45802</v>
      </c>
      <c r="C21" s="45" t="str">
        <f>INDEX('Analysis Data'!$B$2:$B$366,MATCH(D21,'Analysis Data'!$J$2:$J$366,0))</f>
        <v>Sunday</v>
      </c>
      <c r="D21" s="71">
        <f>LARGE('Analysis Data'!$J$2:$J$366,A21)</f>
        <v>4604</v>
      </c>
      <c r="E21" s="45" t="str">
        <f t="shared" si="0"/>
        <v>—</v>
      </c>
    </row>
    <row r="22" spans="1:5" x14ac:dyDescent="0.25">
      <c r="A22" s="68">
        <v>5</v>
      </c>
      <c r="B22" s="70">
        <f>INDEX('Analysis Data'!$A$2:$A$366,MATCH(D22,'Analysis Data'!$J$2:$J$366,0))</f>
        <v>45907</v>
      </c>
      <c r="C22" s="45" t="str">
        <f>INDEX('Analysis Data'!$B$2:$B$366,MATCH(D22,'Analysis Data'!$J$2:$J$366,0))</f>
        <v>Sunday</v>
      </c>
      <c r="D22" s="71">
        <f>LARGE('Analysis Data'!$J$2:$J$366,A22)</f>
        <v>4592</v>
      </c>
      <c r="E22" s="45" t="str">
        <f t="shared" si="0"/>
        <v>—</v>
      </c>
    </row>
    <row r="23" spans="1:5" x14ac:dyDescent="0.25">
      <c r="A23" s="68">
        <v>6</v>
      </c>
      <c r="B23" s="70">
        <f>INDEX('Analysis Data'!$A$2:$A$366,MATCH(D23,'Analysis Data'!$J$2:$J$366,0))</f>
        <v>46019</v>
      </c>
      <c r="C23" s="45" t="str">
        <f>INDEX('Analysis Data'!$B$2:$B$366,MATCH(D23,'Analysis Data'!$J$2:$J$366,0))</f>
        <v>Sunday</v>
      </c>
      <c r="D23" s="71">
        <f>LARGE('Analysis Data'!$J$2:$J$366,A23)</f>
        <v>4557</v>
      </c>
      <c r="E23" s="45" t="str">
        <f t="shared" si="0"/>
        <v>—</v>
      </c>
    </row>
    <row r="24" spans="1:5" x14ac:dyDescent="0.25">
      <c r="A24" s="68">
        <v>7</v>
      </c>
      <c r="B24" s="70">
        <f>INDEX('Analysis Data'!$A$2:$A$366,MATCH(D24,'Analysis Data'!$J$2:$J$366,0))</f>
        <v>45886</v>
      </c>
      <c r="C24" s="45" t="str">
        <f>INDEX('Analysis Data'!$B$2:$B$366,MATCH(D24,'Analysis Data'!$J$2:$J$366,0))</f>
        <v>Sunday</v>
      </c>
      <c r="D24" s="71">
        <f>LARGE('Analysis Data'!$J$2:$J$366,A24)</f>
        <v>4493</v>
      </c>
      <c r="E24" s="45" t="str">
        <f t="shared" si="0"/>
        <v>—</v>
      </c>
    </row>
    <row r="25" spans="1:5" x14ac:dyDescent="0.25">
      <c r="A25" s="68">
        <v>8</v>
      </c>
      <c r="B25" s="70">
        <f>INDEX('Analysis Data'!$A$2:$A$366,MATCH(D25,'Analysis Data'!$J$2:$J$366,0))</f>
        <v>46005</v>
      </c>
      <c r="C25" s="45" t="str">
        <f>INDEX('Analysis Data'!$B$2:$B$366,MATCH(D25,'Analysis Data'!$J$2:$J$366,0))</f>
        <v>Sunday</v>
      </c>
      <c r="D25" s="71">
        <f>LARGE('Analysis Data'!$J$2:$J$366,A25)</f>
        <v>4482</v>
      </c>
      <c r="E25" s="45" t="str">
        <f t="shared" si="0"/>
        <v>—</v>
      </c>
    </row>
    <row r="26" spans="1:5" x14ac:dyDescent="0.25">
      <c r="A26" s="68">
        <v>9</v>
      </c>
      <c r="B26" s="70">
        <f>INDEX('Analysis Data'!$A$2:$A$366,MATCH(D26,'Analysis Data'!$J$2:$J$366,0))</f>
        <v>45935</v>
      </c>
      <c r="C26" s="45" t="str">
        <f>INDEX('Analysis Data'!$B$2:$B$366,MATCH(D26,'Analysis Data'!$J$2:$J$366,0))</f>
        <v>Sunday</v>
      </c>
      <c r="D26" s="71">
        <f>LARGE('Analysis Data'!$J$2:$J$366,A26)</f>
        <v>4470</v>
      </c>
      <c r="E26" s="45" t="str">
        <f t="shared" si="0"/>
        <v>—</v>
      </c>
    </row>
    <row r="27" spans="1:5" x14ac:dyDescent="0.25">
      <c r="A27" s="68">
        <v>10</v>
      </c>
      <c r="B27" s="70">
        <f>INDEX('Analysis Data'!$A$2:$A$366,MATCH(D27,'Analysis Data'!$J$2:$J$366,0))</f>
        <v>46089</v>
      </c>
      <c r="C27" s="45" t="str">
        <f>INDEX('Analysis Data'!$B$2:$B$366,MATCH(D27,'Analysis Data'!$J$2:$J$366,0))</f>
        <v>Sunday</v>
      </c>
      <c r="D27" s="71">
        <f>LARGE('Analysis Data'!$J$2:$J$366,A27)</f>
        <v>4469</v>
      </c>
      <c r="E27" s="45" t="str">
        <f t="shared" si="0"/>
        <v>—</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8A33D"/>
  </sheetPr>
  <dimension ref="A1:F16"/>
  <sheetViews>
    <sheetView showGridLines="0" zoomScaleNormal="100" workbookViewId="0"/>
  </sheetViews>
  <sheetFormatPr defaultColWidth="8.6640625" defaultRowHeight="13.2" x14ac:dyDescent="0.25"/>
  <cols>
    <col min="1" max="1" width="6" customWidth="1"/>
    <col min="2" max="2" width="44" customWidth="1"/>
    <col min="3" max="3" width="18" customWidth="1"/>
    <col min="4" max="4" width="20" customWidth="1"/>
    <col min="5" max="5" width="14" customWidth="1"/>
    <col min="6" max="6" width="70" customWidth="1"/>
  </cols>
  <sheetData>
    <row r="1" spans="1:6" ht="19.2" x14ac:dyDescent="0.35">
      <c r="A1" s="19" t="s">
        <v>26</v>
      </c>
    </row>
    <row r="2" spans="1:6" x14ac:dyDescent="0.25">
      <c r="A2" s="20" t="s">
        <v>295</v>
      </c>
    </row>
    <row r="4" spans="1:6" ht="13.8" x14ac:dyDescent="0.25">
      <c r="A4" s="65" t="s">
        <v>296</v>
      </c>
      <c r="C4" s="72">
        <v>8</v>
      </c>
      <c r="D4" s="20" t="s">
        <v>297</v>
      </c>
    </row>
    <row r="6" spans="1:6" ht="31.5" customHeight="1" x14ac:dyDescent="0.25">
      <c r="A6" s="21" t="s">
        <v>286</v>
      </c>
      <c r="B6" s="21" t="s">
        <v>28</v>
      </c>
      <c r="C6" s="21" t="s">
        <v>298</v>
      </c>
      <c r="D6" s="21" t="s">
        <v>30</v>
      </c>
      <c r="E6" s="21" t="s">
        <v>299</v>
      </c>
      <c r="F6" s="21" t="s">
        <v>300</v>
      </c>
    </row>
    <row r="7" spans="1:6" ht="31.5" customHeight="1" x14ac:dyDescent="0.25">
      <c r="A7" s="68">
        <v>1</v>
      </c>
      <c r="B7" s="73" t="s">
        <v>301</v>
      </c>
      <c r="C7" s="74">
        <v>130805.4</v>
      </c>
      <c r="D7" s="75">
        <f>C7*$C$4</f>
        <v>1046443.2</v>
      </c>
      <c r="E7" s="41">
        <f>C7/'KPI Summary'!$B$4</f>
        <v>2.9134948266441911E-2</v>
      </c>
      <c r="F7" s="76" t="s">
        <v>302</v>
      </c>
    </row>
    <row r="8" spans="1:6" ht="31.5" customHeight="1" x14ac:dyDescent="0.25">
      <c r="A8" s="68">
        <v>2</v>
      </c>
      <c r="B8" s="73" t="s">
        <v>303</v>
      </c>
      <c r="C8" s="74">
        <v>128148.9</v>
      </c>
      <c r="D8" s="75">
        <f>C8*$C$4</f>
        <v>1025191.2</v>
      </c>
      <c r="E8" s="41">
        <f>C8/'KPI Summary'!$B$4</f>
        <v>2.8543252586677902E-2</v>
      </c>
      <c r="F8" s="76" t="s">
        <v>304</v>
      </c>
    </row>
    <row r="9" spans="1:6" ht="31.5" customHeight="1" x14ac:dyDescent="0.25">
      <c r="A9" s="68">
        <v>3</v>
      </c>
      <c r="B9" s="73" t="s">
        <v>305</v>
      </c>
      <c r="C9" s="74">
        <v>94953.600000000006</v>
      </c>
      <c r="D9" s="75">
        <f>C9*$C$4</f>
        <v>759628.80000000005</v>
      </c>
      <c r="E9" s="41">
        <f>C9/'KPI Summary'!$B$4</f>
        <v>2.1149495538505435E-2</v>
      </c>
      <c r="F9" s="76" t="s">
        <v>306</v>
      </c>
    </row>
    <row r="10" spans="1:6" ht="31.5" customHeight="1" x14ac:dyDescent="0.25">
      <c r="A10" s="68">
        <v>4</v>
      </c>
      <c r="B10" s="73" t="s">
        <v>307</v>
      </c>
      <c r="C10" s="74">
        <v>42716.3</v>
      </c>
      <c r="D10" s="75">
        <f>C10*$C$4</f>
        <v>341730.4</v>
      </c>
      <c r="E10" s="41">
        <f>C10/'KPI Summary'!$B$4</f>
        <v>9.5144175288926353E-3</v>
      </c>
      <c r="F10" s="76" t="s">
        <v>308</v>
      </c>
    </row>
    <row r="11" spans="1:6" ht="31.5" customHeight="1" x14ac:dyDescent="0.25">
      <c r="A11" s="68">
        <v>5</v>
      </c>
      <c r="B11" s="73" t="s">
        <v>309</v>
      </c>
      <c r="C11" s="74">
        <v>7789</v>
      </c>
      <c r="D11" s="75">
        <f>C11*$C$4</f>
        <v>62312</v>
      </c>
      <c r="E11" s="41">
        <f>C11/'KPI Summary'!$B$4</f>
        <v>1.7348833614462098E-3</v>
      </c>
      <c r="F11" s="76" t="s">
        <v>310</v>
      </c>
    </row>
    <row r="13" spans="1:6" x14ac:dyDescent="0.25">
      <c r="A13" s="31" t="s">
        <v>174</v>
      </c>
    </row>
    <row r="14" spans="1:6" x14ac:dyDescent="0.25">
      <c r="A14" s="20" t="s">
        <v>311</v>
      </c>
    </row>
    <row r="15" spans="1:6" x14ac:dyDescent="0.25">
      <c r="A15" s="20" t="s">
        <v>312</v>
      </c>
    </row>
    <row r="16" spans="1:6" x14ac:dyDescent="0.25">
      <c r="A16" s="20" t="s">
        <v>313</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5A"/>
    <pageSetUpPr fitToPage="1"/>
  </sheetPr>
  <dimension ref="B1:E27"/>
  <sheetViews>
    <sheetView showGridLines="0" topLeftCell="A16" zoomScaleNormal="100" workbookViewId="0"/>
  </sheetViews>
  <sheetFormatPr defaultColWidth="8.6640625" defaultRowHeight="13.2" x14ac:dyDescent="0.25"/>
  <cols>
    <col min="1" max="1" width="2" customWidth="1"/>
    <col min="2" max="2" width="16" customWidth="1"/>
    <col min="3" max="3" width="34" customWidth="1"/>
    <col min="4" max="4" width="44" customWidth="1"/>
    <col min="5" max="5" width="24" customWidth="1"/>
    <col min="6" max="6" width="2" customWidth="1"/>
  </cols>
  <sheetData>
    <row r="1" spans="2:5" ht="22.8" x14ac:dyDescent="0.4">
      <c r="B1" s="77" t="s">
        <v>314</v>
      </c>
    </row>
    <row r="2" spans="2:5" x14ac:dyDescent="0.25">
      <c r="B2" s="20" t="s">
        <v>315</v>
      </c>
    </row>
    <row r="4" spans="2:5" x14ac:dyDescent="0.25">
      <c r="B4" s="55" t="s">
        <v>316</v>
      </c>
      <c r="C4" s="1"/>
      <c r="D4" s="1"/>
      <c r="E4" s="1"/>
    </row>
    <row r="5" spans="2:5" ht="19.5" customHeight="1" x14ac:dyDescent="0.25">
      <c r="B5" s="134" t="str">
        <f>"• The plant used "&amp;TEXT('KPI Summary'!B4,"#,##0")&amp;" kWh in the year; solar supplied "&amp;TEXT('KPI Summary'!B7,"0.00%")&amp;" and the grid the rest."</f>
        <v>• The plant used 44,89,639 kWh in the year; solar supplied 10.57% and the grid the rest.</v>
      </c>
      <c r="C5" s="134"/>
      <c r="D5" s="134"/>
      <c r="E5" s="134"/>
    </row>
    <row r="6" spans="2:5" ht="19.5" customHeight="1" x14ac:dyDescent="0.25">
      <c r="B6" s="134" t="str">
        <f>"• Production-day energy intensity is "&amp;TEXT('KPI Summary'!B12,"0.00")&amp;" kWh/unit ("&amp;TEXT('KPI Summary'!B11,"#,##0")&amp;" kWh over "&amp;TEXT('KPI Summary'!B8,"#,##0")&amp;" units on "&amp;'KPI Summary'!B9&amp;" production days)."</f>
        <v>• Production-day energy intensity is 7.55 kWh/unit (42,71,630 kWh over 5,66,026 units on 313 production days).</v>
      </c>
      <c r="C6" s="134"/>
      <c r="D6" s="134"/>
      <c r="E6" s="134"/>
    </row>
    <row r="7" spans="2:5" ht="19.5" customHeight="1" x14ac:dyDescent="0.25">
      <c r="B7" s="134" t="str">
        <f>"• "&amp;'KPI Summary'!B10&amp;" non-production days consumed "&amp;TEXT('KPI Summary'!B13,"#,##0")&amp;" kWh ("&amp;TEXT('KPI Summary'!B14,"0.0%")&amp;" of total energy) with no output."</f>
        <v>• 52 non-production days consumed 2,18,009 kWh (4.9% of total energy) with no output.</v>
      </c>
      <c r="C7" s="134"/>
      <c r="D7" s="134"/>
      <c r="E7" s="134"/>
    </row>
    <row r="8" spans="2:5" ht="31.5" customHeight="1" x14ac:dyDescent="0.25">
      <c r="B8" s="134" t="str">
        <f>"• "&amp;'Analysis Summary'!B7&amp;" non-production days exceeded the 95th-percentile screening threshold of "&amp;TEXT('Analysis Summary'!B5,"#,##0.0")&amp;" kWh (11-May-25, 18-May-25, 22-Jun-25): potentially wasteful, cause not yet established."</f>
        <v>• 3 non-production days exceeded the 95th-percentile screening threshold of 4,687.7 kWh (11-May-25, 18-May-25, 22-Jun-25): potentially wasteful, cause not yet established.</v>
      </c>
      <c r="C8" s="134"/>
      <c r="D8" s="134"/>
      <c r="E8" s="134"/>
    </row>
    <row r="9" spans="2:5" ht="31.5" customHeight="1" x14ac:dyDescent="0.25">
      <c r="B9" s="134" t="str">
        <f>"• After controlling for units produced, +1°C is associated with about "&amp;TEXT('Analysis Summary'!B15,"0.0")&amp;" kWh more daily energy (95% CI "&amp;TEXT('Analysis Summary'!B21,"0.0")&amp;"–"&amp;TEXT('Analysis Summary'!B22,"0.0")&amp;"). This is an association, not proof of causation."</f>
        <v>• After controlling for units produced, +1°C is associated with about 39.8 kWh more daily energy (95% CI 28.6–50.9). This is an association, not proof of causation.</v>
      </c>
      <c r="C9" s="134"/>
      <c r="D9" s="134"/>
      <c r="E9" s="134"/>
    </row>
    <row r="11" spans="2:5" x14ac:dyDescent="0.25">
      <c r="B11" s="55" t="s">
        <v>317</v>
      </c>
      <c r="C11" s="1"/>
      <c r="D11" s="1"/>
      <c r="E11" s="1"/>
    </row>
    <row r="12" spans="2:5" x14ac:dyDescent="0.25">
      <c r="B12" s="21" t="s">
        <v>318</v>
      </c>
      <c r="C12" s="21" t="s">
        <v>319</v>
      </c>
      <c r="D12" s="21" t="s">
        <v>320</v>
      </c>
      <c r="E12" s="21" t="s">
        <v>321</v>
      </c>
    </row>
    <row r="13" spans="2:5" ht="43.5" customHeight="1" x14ac:dyDescent="0.25">
      <c r="B13" s="73" t="s">
        <v>322</v>
      </c>
      <c r="C13" s="78" t="s">
        <v>157</v>
      </c>
      <c r="D13" s="78" t="s">
        <v>32</v>
      </c>
      <c r="E13" s="78" t="s">
        <v>323</v>
      </c>
    </row>
    <row r="14" spans="2:5" ht="43.5" customHeight="1" x14ac:dyDescent="0.25">
      <c r="B14" s="73" t="s">
        <v>324</v>
      </c>
      <c r="C14" s="78" t="s">
        <v>325</v>
      </c>
      <c r="D14" s="78" t="s">
        <v>34</v>
      </c>
      <c r="E14" s="78" t="s">
        <v>326</v>
      </c>
    </row>
    <row r="15" spans="2:5" ht="43.5" customHeight="1" x14ac:dyDescent="0.25">
      <c r="B15" s="73" t="s">
        <v>327</v>
      </c>
      <c r="C15" s="78" t="s">
        <v>328</v>
      </c>
      <c r="D15" s="78" t="s">
        <v>36</v>
      </c>
      <c r="E15" s="78" t="s">
        <v>329</v>
      </c>
    </row>
    <row r="17" spans="2:5" x14ac:dyDescent="0.25">
      <c r="B17" s="55" t="s">
        <v>330</v>
      </c>
      <c r="C17" s="1"/>
      <c r="D17" s="1"/>
      <c r="E17" s="1"/>
    </row>
    <row r="18" spans="2:5" x14ac:dyDescent="0.25">
      <c r="B18" s="21" t="s">
        <v>286</v>
      </c>
      <c r="C18" s="21" t="s">
        <v>28</v>
      </c>
      <c r="D18" s="21" t="s">
        <v>298</v>
      </c>
      <c r="E18" s="21" t="s">
        <v>30</v>
      </c>
    </row>
    <row r="19" spans="2:5" ht="26.4" x14ac:dyDescent="0.25">
      <c r="B19" s="68">
        <v>1</v>
      </c>
      <c r="C19" s="73" t="str">
        <f>'Savings Table'!B7</f>
        <v>Non-production shutdown / standby reduction</v>
      </c>
      <c r="D19" s="44">
        <f>'Savings Table'!C7</f>
        <v>130805.4</v>
      </c>
      <c r="E19" s="79">
        <f>'Savings Table'!D7</f>
        <v>1046443.2</v>
      </c>
    </row>
    <row r="20" spans="2:5" x14ac:dyDescent="0.25">
      <c r="B20" s="68">
        <v>2</v>
      </c>
      <c r="C20" s="73" t="str">
        <f>'Savings Table'!B8</f>
        <v>Production efficiency improvement</v>
      </c>
      <c r="D20" s="44">
        <f>'Savings Table'!C8</f>
        <v>128148.9</v>
      </c>
      <c r="E20" s="79">
        <f>'Savings Table'!D8</f>
        <v>1025191.2</v>
      </c>
    </row>
    <row r="21" spans="2:5" x14ac:dyDescent="0.25">
      <c r="B21" s="68">
        <v>3</v>
      </c>
      <c r="C21" s="73" t="str">
        <f>'Savings Table'!B9</f>
        <v>Solar generation expansion</v>
      </c>
      <c r="D21" s="44">
        <f>'Savings Table'!C9</f>
        <v>94953.600000000006</v>
      </c>
      <c r="E21" s="79">
        <f>'Savings Table'!D9</f>
        <v>759628.80000000005</v>
      </c>
    </row>
    <row r="22" spans="2:5" x14ac:dyDescent="0.25">
      <c r="B22" s="68">
        <v>4</v>
      </c>
      <c r="C22" s="73" t="str">
        <f>'Savings Table'!B10</f>
        <v>Breakdown-linked controls</v>
      </c>
      <c r="D22" s="44">
        <f>'Savings Table'!C10</f>
        <v>42716.3</v>
      </c>
      <c r="E22" s="79">
        <f>'Savings Table'!D10</f>
        <v>341730.4</v>
      </c>
    </row>
    <row r="23" spans="2:5" x14ac:dyDescent="0.25">
      <c r="B23" s="68">
        <v>5</v>
      </c>
      <c r="C23" s="73" t="str">
        <f>'Savings Table'!B11</f>
        <v>Cooling / HVAC optimisation</v>
      </c>
      <c r="D23" s="44">
        <f>'Savings Table'!C11</f>
        <v>7789</v>
      </c>
      <c r="E23" s="79">
        <f>'Savings Table'!D11</f>
        <v>62312</v>
      </c>
    </row>
    <row r="24" spans="2:5" ht="43.5" customHeight="1" x14ac:dyDescent="0.25">
      <c r="B24" s="134" t="s">
        <v>331</v>
      </c>
      <c r="C24" s="134"/>
      <c r="D24" s="134"/>
      <c r="E24" s="134"/>
    </row>
    <row r="26" spans="2:5" x14ac:dyDescent="0.25">
      <c r="B26" s="55" t="s">
        <v>332</v>
      </c>
      <c r="C26" s="1"/>
      <c r="D26" s="1"/>
      <c r="E26" s="1"/>
    </row>
    <row r="27" spans="2:5" ht="43.5" customHeight="1" x14ac:dyDescent="0.25">
      <c r="B27" s="134" t="s">
        <v>333</v>
      </c>
      <c r="C27" s="134"/>
      <c r="D27" s="134"/>
      <c r="E27" s="134"/>
    </row>
  </sheetData>
  <mergeCells count="7">
    <mergeCell ref="B24:E24"/>
    <mergeCell ref="B27:E27"/>
    <mergeCell ref="B5:E5"/>
    <mergeCell ref="B6:E6"/>
    <mergeCell ref="B7:E7"/>
    <mergeCell ref="B8:E8"/>
    <mergeCell ref="B9:E9"/>
  </mergeCell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D32"/>
  </sheetPr>
  <dimension ref="A1:H54"/>
  <sheetViews>
    <sheetView showGridLines="0" zoomScaleNormal="100" workbookViewId="0">
      <pane ySplit="4" topLeftCell="A29" activePane="bottomLeft" state="frozen"/>
      <selection pane="bottomLeft"/>
    </sheetView>
  </sheetViews>
  <sheetFormatPr defaultColWidth="8.6640625" defaultRowHeight="13.2" x14ac:dyDescent="0.25"/>
  <cols>
    <col min="1" max="1" width="5" customWidth="1"/>
    <col min="2" max="2" width="58" customWidth="1"/>
    <col min="3" max="4" width="16" customWidth="1"/>
    <col min="5" max="5" width="12" customWidth="1"/>
    <col min="6" max="6" width="11" customWidth="1"/>
    <col min="7" max="7" width="10" customWidth="1"/>
    <col min="8" max="8" width="56" customWidth="1"/>
  </cols>
  <sheetData>
    <row r="1" spans="1:8" ht="19.2" x14ac:dyDescent="0.35">
      <c r="A1" s="19" t="s">
        <v>334</v>
      </c>
    </row>
    <row r="2" spans="1:8" ht="13.8" x14ac:dyDescent="0.25">
      <c r="A2" s="20" t="s">
        <v>335</v>
      </c>
      <c r="C2" s="80" t="s">
        <v>336</v>
      </c>
      <c r="D2" s="135" t="str">
        <f>IF(COUNTIF(G5:G54,"FAIL")=0,"ALL "&amp;COUNTA(G5:G54)&amp;" CHECKS PASS",COUNTIF(G5:G54,"FAIL")&amp;" CHECK(S) FAIL")</f>
        <v>ALL 50 CHECKS PASS</v>
      </c>
      <c r="E2" s="135"/>
      <c r="F2" s="135"/>
    </row>
    <row r="4" spans="1:8" x14ac:dyDescent="0.25">
      <c r="A4" s="21" t="s">
        <v>286</v>
      </c>
      <c r="B4" s="21" t="s">
        <v>141</v>
      </c>
      <c r="C4" s="21" t="s">
        <v>143</v>
      </c>
      <c r="D4" s="21" t="s">
        <v>337</v>
      </c>
      <c r="E4" s="21" t="s">
        <v>338</v>
      </c>
      <c r="F4" s="21" t="s">
        <v>339</v>
      </c>
      <c r="G4" s="21" t="s">
        <v>144</v>
      </c>
      <c r="H4" s="21" t="s">
        <v>145</v>
      </c>
    </row>
    <row r="5" spans="1:8" x14ac:dyDescent="0.25">
      <c r="A5" s="68">
        <v>1</v>
      </c>
      <c r="B5" s="56" t="s">
        <v>340</v>
      </c>
      <c r="C5" s="81">
        <v>365</v>
      </c>
      <c r="D5" s="38">
        <f>'KPI Summary'!B17</f>
        <v>365</v>
      </c>
      <c r="E5" s="82">
        <f t="shared" ref="E5:E36" si="0">D5-C5</f>
        <v>0</v>
      </c>
      <c r="F5" s="83">
        <v>0</v>
      </c>
      <c r="G5" s="25" t="str">
        <f t="shared" ref="G5:G36" si="1">IF(ABS(E5)&lt;=F5,"PASS","FAIL")</f>
        <v>PASS</v>
      </c>
      <c r="H5" s="26"/>
    </row>
    <row r="6" spans="1:8" x14ac:dyDescent="0.25">
      <c r="A6" s="68">
        <v>2</v>
      </c>
      <c r="B6" s="56" t="s">
        <v>233</v>
      </c>
      <c r="C6" s="81">
        <v>4489639</v>
      </c>
      <c r="D6" s="38">
        <f>'KPI Summary'!B4</f>
        <v>4489639</v>
      </c>
      <c r="E6" s="82">
        <f t="shared" si="0"/>
        <v>0</v>
      </c>
      <c r="F6" s="83">
        <v>0.5</v>
      </c>
      <c r="G6" s="25" t="str">
        <f t="shared" si="1"/>
        <v>PASS</v>
      </c>
      <c r="H6" s="26"/>
    </row>
    <row r="7" spans="1:8" x14ac:dyDescent="0.25">
      <c r="A7" s="68">
        <v>3</v>
      </c>
      <c r="B7" s="56" t="s">
        <v>341</v>
      </c>
      <c r="C7" s="81">
        <v>4014871</v>
      </c>
      <c r="D7" s="38">
        <f>'KPI Summary'!B5</f>
        <v>4014871</v>
      </c>
      <c r="E7" s="82">
        <f t="shared" si="0"/>
        <v>0</v>
      </c>
      <c r="F7" s="83">
        <v>0.5</v>
      </c>
      <c r="G7" s="25" t="str">
        <f t="shared" si="1"/>
        <v>PASS</v>
      </c>
      <c r="H7" s="26"/>
    </row>
    <row r="8" spans="1:8" x14ac:dyDescent="0.25">
      <c r="A8" s="68">
        <v>4</v>
      </c>
      <c r="B8" s="56" t="s">
        <v>342</v>
      </c>
      <c r="C8" s="81">
        <v>474768</v>
      </c>
      <c r="D8" s="38">
        <f>'KPI Summary'!B6</f>
        <v>474768</v>
      </c>
      <c r="E8" s="82">
        <f t="shared" si="0"/>
        <v>0</v>
      </c>
      <c r="F8" s="83">
        <v>0.5</v>
      </c>
      <c r="G8" s="25" t="str">
        <f t="shared" si="1"/>
        <v>PASS</v>
      </c>
      <c r="H8" s="26"/>
    </row>
    <row r="9" spans="1:8" x14ac:dyDescent="0.25">
      <c r="A9" s="68">
        <v>5</v>
      </c>
      <c r="B9" s="56" t="s">
        <v>343</v>
      </c>
      <c r="C9" s="81">
        <v>4489639</v>
      </c>
      <c r="D9" s="38">
        <f>'KPI Summary'!B5+'KPI Summary'!B6</f>
        <v>4489639</v>
      </c>
      <c r="E9" s="82">
        <f t="shared" si="0"/>
        <v>0</v>
      </c>
      <c r="F9" s="83">
        <v>0.5</v>
      </c>
      <c r="G9" s="25" t="str">
        <f t="shared" si="1"/>
        <v>PASS</v>
      </c>
      <c r="H9" s="26"/>
    </row>
    <row r="10" spans="1:8" x14ac:dyDescent="0.25">
      <c r="A10" s="68">
        <v>6</v>
      </c>
      <c r="B10" s="56" t="s">
        <v>344</v>
      </c>
      <c r="C10" s="38">
        <f>'KPI Summary'!B4</f>
        <v>4489639</v>
      </c>
      <c r="D10" s="38">
        <f>'Monthly Analysis'!H17</f>
        <v>4489639</v>
      </c>
      <c r="E10" s="82">
        <f t="shared" si="0"/>
        <v>0</v>
      </c>
      <c r="F10" s="83">
        <v>0.5</v>
      </c>
      <c r="G10" s="25" t="str">
        <f t="shared" si="1"/>
        <v>PASS</v>
      </c>
      <c r="H10" s="26" t="s">
        <v>345</v>
      </c>
    </row>
    <row r="11" spans="1:8" x14ac:dyDescent="0.25">
      <c r="A11" s="68">
        <v>7</v>
      </c>
      <c r="B11" s="56" t="s">
        <v>346</v>
      </c>
      <c r="C11" s="84">
        <v>0.10574699999999999</v>
      </c>
      <c r="D11" s="85">
        <f>'KPI Summary'!B7</f>
        <v>0.10574747769252717</v>
      </c>
      <c r="E11" s="82">
        <f t="shared" si="0"/>
        <v>4.7769252717322352E-7</v>
      </c>
      <c r="F11" s="83">
        <v>9.9999999999999995E-7</v>
      </c>
      <c r="G11" s="25" t="str">
        <f t="shared" si="1"/>
        <v>PASS</v>
      </c>
      <c r="H11" s="26" t="s">
        <v>347</v>
      </c>
    </row>
    <row r="12" spans="1:8" x14ac:dyDescent="0.25">
      <c r="A12" s="68">
        <v>8</v>
      </c>
      <c r="B12" s="56" t="s">
        <v>348</v>
      </c>
      <c r="C12" s="81">
        <v>566026</v>
      </c>
      <c r="D12" s="38">
        <f>'KPI Summary'!B8</f>
        <v>566026</v>
      </c>
      <c r="E12" s="82">
        <f t="shared" si="0"/>
        <v>0</v>
      </c>
      <c r="F12" s="83">
        <v>0.5</v>
      </c>
      <c r="G12" s="25" t="str">
        <f t="shared" si="1"/>
        <v>PASS</v>
      </c>
      <c r="H12" s="26"/>
    </row>
    <row r="13" spans="1:8" x14ac:dyDescent="0.25">
      <c r="A13" s="68">
        <v>9</v>
      </c>
      <c r="B13" s="56" t="s">
        <v>235</v>
      </c>
      <c r="C13" s="81">
        <v>4271630</v>
      </c>
      <c r="D13" s="38">
        <f>'KPI Summary'!B11</f>
        <v>4271630</v>
      </c>
      <c r="E13" s="82">
        <f t="shared" si="0"/>
        <v>0</v>
      </c>
      <c r="F13" s="83">
        <v>0.5</v>
      </c>
      <c r="G13" s="25" t="str">
        <f t="shared" si="1"/>
        <v>PASS</v>
      </c>
      <c r="H13" s="26"/>
    </row>
    <row r="14" spans="1:8" x14ac:dyDescent="0.25">
      <c r="A14" s="68">
        <v>10</v>
      </c>
      <c r="B14" s="56" t="s">
        <v>349</v>
      </c>
      <c r="C14" s="86">
        <v>7.5467000000000004</v>
      </c>
      <c r="D14" s="87">
        <f>'KPI Summary'!B12</f>
        <v>7.5467028016380873</v>
      </c>
      <c r="E14" s="82">
        <f t="shared" si="0"/>
        <v>2.8016380868578494E-6</v>
      </c>
      <c r="F14" s="83">
        <v>5.0000000000000002E-5</v>
      </c>
      <c r="G14" s="25" t="str">
        <f t="shared" si="1"/>
        <v>PASS</v>
      </c>
      <c r="H14" s="26" t="s">
        <v>350</v>
      </c>
    </row>
    <row r="15" spans="1:8" x14ac:dyDescent="0.25">
      <c r="A15" s="68">
        <v>11</v>
      </c>
      <c r="B15" s="56" t="s">
        <v>351</v>
      </c>
      <c r="C15" s="87">
        <f>4271630/566026</f>
        <v>7.5467028016380873</v>
      </c>
      <c r="D15" s="87">
        <f>'KPI Summary'!B12</f>
        <v>7.5467028016380873</v>
      </c>
      <c r="E15" s="82">
        <f t="shared" si="0"/>
        <v>0</v>
      </c>
      <c r="F15" s="83">
        <v>9.9999999999999995E-8</v>
      </c>
      <c r="G15" s="25" t="str">
        <f t="shared" si="1"/>
        <v>PASS</v>
      </c>
      <c r="H15" s="26" t="s">
        <v>352</v>
      </c>
    </row>
    <row r="16" spans="1:8" x14ac:dyDescent="0.25">
      <c r="A16" s="68">
        <v>12</v>
      </c>
      <c r="B16" s="56" t="s">
        <v>156</v>
      </c>
      <c r="C16" s="24">
        <v>313</v>
      </c>
      <c r="D16" s="23">
        <f>'KPI Summary'!B9</f>
        <v>313</v>
      </c>
      <c r="E16" s="82">
        <f t="shared" si="0"/>
        <v>0</v>
      </c>
      <c r="F16" s="83">
        <v>0</v>
      </c>
      <c r="G16" s="25" t="str">
        <f t="shared" si="1"/>
        <v>PASS</v>
      </c>
      <c r="H16" s="26"/>
    </row>
    <row r="17" spans="1:8" x14ac:dyDescent="0.25">
      <c r="A17" s="68">
        <v>13</v>
      </c>
      <c r="B17" s="56" t="s">
        <v>157</v>
      </c>
      <c r="C17" s="24">
        <v>52</v>
      </c>
      <c r="D17" s="23">
        <f>'KPI Summary'!B10</f>
        <v>52</v>
      </c>
      <c r="E17" s="82">
        <f t="shared" si="0"/>
        <v>0</v>
      </c>
      <c r="F17" s="83">
        <v>0</v>
      </c>
      <c r="G17" s="25" t="str">
        <f t="shared" si="1"/>
        <v>PASS</v>
      </c>
      <c r="H17" s="26"/>
    </row>
    <row r="18" spans="1:8" x14ac:dyDescent="0.25">
      <c r="A18" s="68">
        <v>14</v>
      </c>
      <c r="B18" s="56" t="s">
        <v>353</v>
      </c>
      <c r="C18" s="24">
        <v>365</v>
      </c>
      <c r="D18" s="23">
        <f>'KPI Summary'!B9+'KPI Summary'!B10</f>
        <v>365</v>
      </c>
      <c r="E18" s="82">
        <f t="shared" si="0"/>
        <v>0</v>
      </c>
      <c r="F18" s="83">
        <v>0</v>
      </c>
      <c r="G18" s="25" t="str">
        <f t="shared" si="1"/>
        <v>PASS</v>
      </c>
      <c r="H18" s="26"/>
    </row>
    <row r="19" spans="1:8" x14ac:dyDescent="0.25">
      <c r="A19" s="68">
        <v>15</v>
      </c>
      <c r="B19" s="56" t="s">
        <v>238</v>
      </c>
      <c r="C19" s="81">
        <v>218009</v>
      </c>
      <c r="D19" s="38">
        <f>'KPI Summary'!B13</f>
        <v>218009</v>
      </c>
      <c r="E19" s="82">
        <f t="shared" si="0"/>
        <v>0</v>
      </c>
      <c r="F19" s="83">
        <v>0.5</v>
      </c>
      <c r="G19" s="25" t="str">
        <f t="shared" si="1"/>
        <v>PASS</v>
      </c>
      <c r="H19" s="26"/>
    </row>
    <row r="20" spans="1:8" x14ac:dyDescent="0.25">
      <c r="A20" s="68">
        <v>16</v>
      </c>
      <c r="B20" s="56" t="s">
        <v>354</v>
      </c>
      <c r="C20" s="38">
        <f>'KPI Summary'!B4</f>
        <v>4489639</v>
      </c>
      <c r="D20" s="38">
        <f>'KPI Summary'!B11+'KPI Summary'!B13</f>
        <v>4489639</v>
      </c>
      <c r="E20" s="82">
        <f t="shared" si="0"/>
        <v>0</v>
      </c>
      <c r="F20" s="83">
        <v>0.5</v>
      </c>
      <c r="G20" s="25" t="str">
        <f t="shared" si="1"/>
        <v>PASS</v>
      </c>
      <c r="H20" s="26"/>
    </row>
    <row r="21" spans="1:8" x14ac:dyDescent="0.25">
      <c r="A21" s="68">
        <v>17</v>
      </c>
      <c r="B21" s="56" t="s">
        <v>355</v>
      </c>
      <c r="C21" s="81">
        <v>520</v>
      </c>
      <c r="D21" s="38">
        <f>'KPI Summary'!B15</f>
        <v>520</v>
      </c>
      <c r="E21" s="82">
        <f t="shared" si="0"/>
        <v>0</v>
      </c>
      <c r="F21" s="83">
        <v>0</v>
      </c>
      <c r="G21" s="25" t="str">
        <f t="shared" si="1"/>
        <v>PASS</v>
      </c>
      <c r="H21" s="26" t="s">
        <v>356</v>
      </c>
    </row>
    <row r="22" spans="1:8" x14ac:dyDescent="0.25">
      <c r="A22" s="68">
        <v>18</v>
      </c>
      <c r="B22" s="56" t="s">
        <v>357</v>
      </c>
      <c r="C22" s="81">
        <v>364</v>
      </c>
      <c r="D22" s="38">
        <f>'KPI Summary'!B16</f>
        <v>364</v>
      </c>
      <c r="E22" s="82">
        <f t="shared" si="0"/>
        <v>0</v>
      </c>
      <c r="F22" s="83">
        <v>0</v>
      </c>
      <c r="G22" s="25" t="str">
        <f t="shared" si="1"/>
        <v>PASS</v>
      </c>
      <c r="H22" s="26"/>
    </row>
    <row r="23" spans="1:8" x14ac:dyDescent="0.25">
      <c r="A23" s="68">
        <v>19</v>
      </c>
      <c r="B23" s="56" t="s">
        <v>358</v>
      </c>
      <c r="C23" s="74">
        <v>4687.7</v>
      </c>
      <c r="D23" s="44">
        <f>'Analysis Summary'!B5</f>
        <v>4687.6999999999989</v>
      </c>
      <c r="E23" s="82">
        <f t="shared" si="0"/>
        <v>0</v>
      </c>
      <c r="F23" s="83">
        <v>0.05</v>
      </c>
      <c r="G23" s="25" t="str">
        <f t="shared" si="1"/>
        <v>PASS</v>
      </c>
      <c r="H23" s="26" t="s">
        <v>359</v>
      </c>
    </row>
    <row r="24" spans="1:8" x14ac:dyDescent="0.25">
      <c r="A24" s="68">
        <v>20</v>
      </c>
      <c r="B24" s="56" t="s">
        <v>251</v>
      </c>
      <c r="C24" s="24">
        <v>3</v>
      </c>
      <c r="D24" s="23">
        <f>'Analysis Summary'!B7</f>
        <v>3</v>
      </c>
      <c r="E24" s="82">
        <f t="shared" si="0"/>
        <v>0</v>
      </c>
      <c r="F24" s="83">
        <v>0</v>
      </c>
      <c r="G24" s="25" t="str">
        <f t="shared" si="1"/>
        <v>PASS</v>
      </c>
      <c r="H24" s="26"/>
    </row>
    <row r="25" spans="1:8" x14ac:dyDescent="0.25">
      <c r="A25" s="68">
        <v>21</v>
      </c>
      <c r="B25" s="56" t="s">
        <v>360</v>
      </c>
      <c r="C25" s="28">
        <v>45788</v>
      </c>
      <c r="D25" s="27">
        <f>'Wasteful Days'!B9</f>
        <v>45788</v>
      </c>
      <c r="E25" s="82">
        <f t="shared" si="0"/>
        <v>0</v>
      </c>
      <c r="F25" s="83">
        <v>0</v>
      </c>
      <c r="G25" s="25" t="str">
        <f t="shared" si="1"/>
        <v>PASS</v>
      </c>
      <c r="H25" s="26"/>
    </row>
    <row r="26" spans="1:8" x14ac:dyDescent="0.25">
      <c r="A26" s="68">
        <v>22</v>
      </c>
      <c r="B26" s="56" t="s">
        <v>361</v>
      </c>
      <c r="C26" s="81">
        <v>4917</v>
      </c>
      <c r="D26" s="38">
        <f>'Wasteful Days'!D9</f>
        <v>4917</v>
      </c>
      <c r="E26" s="82">
        <f t="shared" si="0"/>
        <v>0</v>
      </c>
      <c r="F26" s="83">
        <v>0</v>
      </c>
      <c r="G26" s="25" t="str">
        <f t="shared" si="1"/>
        <v>PASS</v>
      </c>
      <c r="H26" s="26"/>
    </row>
    <row r="27" spans="1:8" x14ac:dyDescent="0.25">
      <c r="A27" s="68">
        <v>23</v>
      </c>
      <c r="B27" s="56" t="s">
        <v>362</v>
      </c>
      <c r="C27" s="28">
        <v>45795</v>
      </c>
      <c r="D27" s="27">
        <f>'Wasteful Days'!B10</f>
        <v>45795</v>
      </c>
      <c r="E27" s="82">
        <f t="shared" si="0"/>
        <v>0</v>
      </c>
      <c r="F27" s="83">
        <v>0</v>
      </c>
      <c r="G27" s="25" t="str">
        <f t="shared" si="1"/>
        <v>PASS</v>
      </c>
      <c r="H27" s="26"/>
    </row>
    <row r="28" spans="1:8" x14ac:dyDescent="0.25">
      <c r="A28" s="68">
        <v>24</v>
      </c>
      <c r="B28" s="56" t="s">
        <v>363</v>
      </c>
      <c r="C28" s="81">
        <v>4790</v>
      </c>
      <c r="D28" s="38">
        <f>'Wasteful Days'!D10</f>
        <v>4790</v>
      </c>
      <c r="E28" s="82">
        <f t="shared" si="0"/>
        <v>0</v>
      </c>
      <c r="F28" s="83">
        <v>0</v>
      </c>
      <c r="G28" s="25" t="str">
        <f t="shared" si="1"/>
        <v>PASS</v>
      </c>
      <c r="H28" s="26"/>
    </row>
    <row r="29" spans="1:8" x14ac:dyDescent="0.25">
      <c r="A29" s="68">
        <v>25</v>
      </c>
      <c r="B29" s="56" t="s">
        <v>364</v>
      </c>
      <c r="C29" s="28">
        <v>45830</v>
      </c>
      <c r="D29" s="27">
        <f>'Wasteful Days'!B11</f>
        <v>45830</v>
      </c>
      <c r="E29" s="82">
        <f t="shared" si="0"/>
        <v>0</v>
      </c>
      <c r="F29" s="83">
        <v>0</v>
      </c>
      <c r="G29" s="25" t="str">
        <f t="shared" si="1"/>
        <v>PASS</v>
      </c>
      <c r="H29" s="26"/>
    </row>
    <row r="30" spans="1:8" x14ac:dyDescent="0.25">
      <c r="A30" s="68">
        <v>26</v>
      </c>
      <c r="B30" s="56" t="s">
        <v>365</v>
      </c>
      <c r="C30" s="81">
        <v>5179</v>
      </c>
      <c r="D30" s="38">
        <f>'Wasteful Days'!D11</f>
        <v>5179</v>
      </c>
      <c r="E30" s="82">
        <f t="shared" si="0"/>
        <v>0</v>
      </c>
      <c r="F30" s="83">
        <v>0</v>
      </c>
      <c r="G30" s="25" t="str">
        <f t="shared" si="1"/>
        <v>PASS</v>
      </c>
      <c r="H30" s="26"/>
    </row>
    <row r="31" spans="1:8" x14ac:dyDescent="0.25">
      <c r="A31" s="68">
        <v>27</v>
      </c>
      <c r="B31" s="56" t="s">
        <v>366</v>
      </c>
      <c r="C31" s="88">
        <v>39.799999999999997</v>
      </c>
      <c r="D31" s="42">
        <f>'Analysis Summary'!B15</f>
        <v>39.787918890127109</v>
      </c>
      <c r="E31" s="82">
        <f t="shared" si="0"/>
        <v>-1.2081109872887907E-2</v>
      </c>
      <c r="F31" s="83">
        <v>0.05</v>
      </c>
      <c r="G31" s="25" t="str">
        <f t="shared" si="1"/>
        <v>PASS</v>
      </c>
      <c r="H31" s="26" t="s">
        <v>367</v>
      </c>
    </row>
    <row r="32" spans="1:8" x14ac:dyDescent="0.25">
      <c r="A32" s="68">
        <v>28</v>
      </c>
      <c r="B32" s="56" t="s">
        <v>368</v>
      </c>
      <c r="C32" s="88">
        <v>28.63</v>
      </c>
      <c r="D32" s="42">
        <f>'Analysis Summary'!B21</f>
        <v>28.634309798531245</v>
      </c>
      <c r="E32" s="82">
        <f t="shared" si="0"/>
        <v>4.3097985312456899E-3</v>
      </c>
      <c r="F32" s="83">
        <v>0.05</v>
      </c>
      <c r="G32" s="25" t="str">
        <f t="shared" si="1"/>
        <v>PASS</v>
      </c>
      <c r="H32" s="26"/>
    </row>
    <row r="33" spans="1:8" x14ac:dyDescent="0.25">
      <c r="A33" s="68">
        <v>29</v>
      </c>
      <c r="B33" s="56" t="s">
        <v>369</v>
      </c>
      <c r="C33" s="88">
        <v>50.94</v>
      </c>
      <c r="D33" s="42">
        <f>'Analysis Summary'!B22</f>
        <v>50.94152798172297</v>
      </c>
      <c r="E33" s="82">
        <f t="shared" si="0"/>
        <v>1.5279817229725268E-3</v>
      </c>
      <c r="F33" s="83">
        <v>0.05</v>
      </c>
      <c r="G33" s="25" t="str">
        <f t="shared" si="1"/>
        <v>PASS</v>
      </c>
      <c r="H33" s="26"/>
    </row>
    <row r="34" spans="1:8" x14ac:dyDescent="0.25">
      <c r="A34" s="68">
        <v>30</v>
      </c>
      <c r="B34" s="56" t="s">
        <v>370</v>
      </c>
      <c r="C34" s="89">
        <v>0.76500000000000001</v>
      </c>
      <c r="D34" s="90">
        <f>'Analysis Summary'!B23</f>
        <v>0.76466562739638955</v>
      </c>
      <c r="E34" s="82">
        <f t="shared" si="0"/>
        <v>-3.3437260361046661E-4</v>
      </c>
      <c r="F34" s="83">
        <v>5.0000000000000001E-4</v>
      </c>
      <c r="G34" s="25" t="str">
        <f t="shared" si="1"/>
        <v>PASS</v>
      </c>
      <c r="H34" s="26"/>
    </row>
    <row r="35" spans="1:8" x14ac:dyDescent="0.25">
      <c r="A35" s="68">
        <v>31</v>
      </c>
      <c r="B35" s="56" t="s">
        <v>371</v>
      </c>
      <c r="C35" s="89">
        <v>7.1999999999999995E-2</v>
      </c>
      <c r="D35" s="90">
        <f>'Analysis Summary'!B24</f>
        <v>7.2069234239703142E-2</v>
      </c>
      <c r="E35" s="82">
        <f t="shared" si="0"/>
        <v>6.9234239703147571E-5</v>
      </c>
      <c r="F35" s="83">
        <v>5.0000000000000001E-4</v>
      </c>
      <c r="G35" s="25" t="str">
        <f t="shared" si="1"/>
        <v>PASS</v>
      </c>
      <c r="H35" s="26" t="s">
        <v>372</v>
      </c>
    </row>
    <row r="36" spans="1:8" x14ac:dyDescent="0.25">
      <c r="A36" s="68">
        <v>32</v>
      </c>
      <c r="B36" s="56" t="s">
        <v>373</v>
      </c>
      <c r="C36" s="38">
        <f>'KPI Summary'!B5</f>
        <v>4014871</v>
      </c>
      <c r="D36" s="38">
        <f>'Monthly Analysis'!F17</f>
        <v>4014871</v>
      </c>
      <c r="E36" s="82">
        <f t="shared" si="0"/>
        <v>0</v>
      </c>
      <c r="F36" s="83">
        <v>0.5</v>
      </c>
      <c r="G36" s="25" t="str">
        <f t="shared" si="1"/>
        <v>PASS</v>
      </c>
      <c r="H36" s="26"/>
    </row>
    <row r="37" spans="1:8" x14ac:dyDescent="0.25">
      <c r="A37" s="68">
        <v>33</v>
      </c>
      <c r="B37" s="56" t="s">
        <v>374</v>
      </c>
      <c r="C37" s="38">
        <f>'KPI Summary'!B6</f>
        <v>474768</v>
      </c>
      <c r="D37" s="38">
        <f>'Monthly Analysis'!G17</f>
        <v>474768</v>
      </c>
      <c r="E37" s="82">
        <f t="shared" ref="E37:E54" si="2">D37-C37</f>
        <v>0</v>
      </c>
      <c r="F37" s="83">
        <v>0.5</v>
      </c>
      <c r="G37" s="25" t="str">
        <f t="shared" ref="G37:G54" si="3">IF(ABS(E37)&lt;=F37,"PASS","FAIL")</f>
        <v>PASS</v>
      </c>
      <c r="H37" s="26"/>
    </row>
    <row r="38" spans="1:8" x14ac:dyDescent="0.25">
      <c r="A38" s="68">
        <v>34</v>
      </c>
      <c r="B38" s="56" t="s">
        <v>375</v>
      </c>
      <c r="C38" s="38">
        <f>'KPI Summary'!B8</f>
        <v>566026</v>
      </c>
      <c r="D38" s="38">
        <f>'Monthly Analysis'!K17</f>
        <v>566026</v>
      </c>
      <c r="E38" s="82">
        <f t="shared" si="2"/>
        <v>0</v>
      </c>
      <c r="F38" s="83">
        <v>0.5</v>
      </c>
      <c r="G38" s="25" t="str">
        <f t="shared" si="3"/>
        <v>PASS</v>
      </c>
      <c r="H38" s="26"/>
    </row>
    <row r="39" spans="1:8" x14ac:dyDescent="0.25">
      <c r="A39" s="68">
        <v>35</v>
      </c>
      <c r="B39" s="56" t="s">
        <v>376</v>
      </c>
      <c r="C39" s="24">
        <v>313</v>
      </c>
      <c r="D39" s="23">
        <f>'Monthly Analysis'!D17</f>
        <v>313</v>
      </c>
      <c r="E39" s="82">
        <f t="shared" si="2"/>
        <v>0</v>
      </c>
      <c r="F39" s="83">
        <v>0</v>
      </c>
      <c r="G39" s="25" t="str">
        <f t="shared" si="3"/>
        <v>PASS</v>
      </c>
      <c r="H39" s="26"/>
    </row>
    <row r="40" spans="1:8" x14ac:dyDescent="0.25">
      <c r="A40" s="68">
        <v>36</v>
      </c>
      <c r="B40" s="56" t="s">
        <v>377</v>
      </c>
      <c r="C40" s="24">
        <v>52</v>
      </c>
      <c r="D40" s="23">
        <f>'Monthly Analysis'!E17</f>
        <v>52</v>
      </c>
      <c r="E40" s="82">
        <f t="shared" si="2"/>
        <v>0</v>
      </c>
      <c r="F40" s="83">
        <v>0</v>
      </c>
      <c r="G40" s="25" t="str">
        <f t="shared" si="3"/>
        <v>PASS</v>
      </c>
      <c r="H40" s="26"/>
    </row>
    <row r="41" spans="1:8" x14ac:dyDescent="0.25">
      <c r="A41" s="68">
        <v>37</v>
      </c>
      <c r="B41" s="56" t="s">
        <v>378</v>
      </c>
      <c r="C41" s="38">
        <f>'KPI Summary'!B13</f>
        <v>218009</v>
      </c>
      <c r="D41" s="38">
        <f>'Monthly Analysis'!M17</f>
        <v>218009</v>
      </c>
      <c r="E41" s="82">
        <f t="shared" si="2"/>
        <v>0</v>
      </c>
      <c r="F41" s="83">
        <v>0.5</v>
      </c>
      <c r="G41" s="25" t="str">
        <f t="shared" si="3"/>
        <v>PASS</v>
      </c>
      <c r="H41" s="26"/>
    </row>
    <row r="42" spans="1:8" x14ac:dyDescent="0.25">
      <c r="A42" s="68">
        <v>38</v>
      </c>
      <c r="B42" s="56" t="s">
        <v>379</v>
      </c>
      <c r="C42" s="38">
        <f>'KPI Summary'!B15</f>
        <v>520</v>
      </c>
      <c r="D42" s="38">
        <f>'Monthly Analysis'!N17</f>
        <v>520</v>
      </c>
      <c r="E42" s="82">
        <f t="shared" si="2"/>
        <v>0</v>
      </c>
      <c r="F42" s="83">
        <v>0</v>
      </c>
      <c r="G42" s="25" t="str">
        <f t="shared" si="3"/>
        <v>PASS</v>
      </c>
      <c r="H42" s="26"/>
    </row>
    <row r="43" spans="1:8" x14ac:dyDescent="0.25">
      <c r="A43" s="68">
        <v>39</v>
      </c>
      <c r="B43" s="56" t="s">
        <v>380</v>
      </c>
      <c r="C43" s="38">
        <f>'KPI Summary'!B4</f>
        <v>4489639</v>
      </c>
      <c r="D43" s="38">
        <f>Dashboard!B6</f>
        <v>4489639</v>
      </c>
      <c r="E43" s="82">
        <f t="shared" si="2"/>
        <v>0</v>
      </c>
      <c r="F43" s="83">
        <v>0</v>
      </c>
      <c r="G43" s="25" t="str">
        <f t="shared" si="3"/>
        <v>PASS</v>
      </c>
      <c r="H43" s="26" t="s">
        <v>381</v>
      </c>
    </row>
    <row r="44" spans="1:8" x14ac:dyDescent="0.25">
      <c r="A44" s="68">
        <v>40</v>
      </c>
      <c r="B44" s="56" t="s">
        <v>382</v>
      </c>
      <c r="C44" s="87">
        <f>'KPI Summary'!B12</f>
        <v>7.5467028016380873</v>
      </c>
      <c r="D44" s="87">
        <f>Dashboard!D6</f>
        <v>7.5467028016380873</v>
      </c>
      <c r="E44" s="82">
        <f t="shared" si="2"/>
        <v>0</v>
      </c>
      <c r="F44" s="83">
        <v>0</v>
      </c>
      <c r="G44" s="25" t="str">
        <f t="shared" si="3"/>
        <v>PASS</v>
      </c>
      <c r="H44" s="26"/>
    </row>
    <row r="45" spans="1:8" x14ac:dyDescent="0.25">
      <c r="A45" s="68">
        <v>41</v>
      </c>
      <c r="B45" s="56" t="s">
        <v>383</v>
      </c>
      <c r="C45" s="41">
        <f>'KPI Summary'!B7</f>
        <v>0.10574747769252717</v>
      </c>
      <c r="D45" s="41">
        <f>Dashboard!F6</f>
        <v>0.10574747769252717</v>
      </c>
      <c r="E45" s="82">
        <f t="shared" si="2"/>
        <v>0</v>
      </c>
      <c r="F45" s="83">
        <v>0</v>
      </c>
      <c r="G45" s="25" t="str">
        <f t="shared" si="3"/>
        <v>PASS</v>
      </c>
      <c r="H45" s="26"/>
    </row>
    <row r="46" spans="1:8" x14ac:dyDescent="0.25">
      <c r="A46" s="68">
        <v>42</v>
      </c>
      <c r="B46" s="56" t="s">
        <v>384</v>
      </c>
      <c r="C46" s="23">
        <f>'KPI Summary'!B9</f>
        <v>313</v>
      </c>
      <c r="D46" s="23">
        <f>Dashboard!H6</f>
        <v>313</v>
      </c>
      <c r="E46" s="82">
        <f t="shared" si="2"/>
        <v>0</v>
      </c>
      <c r="F46" s="83">
        <v>0</v>
      </c>
      <c r="G46" s="25" t="str">
        <f t="shared" si="3"/>
        <v>PASS</v>
      </c>
      <c r="H46" s="26"/>
    </row>
    <row r="47" spans="1:8" x14ac:dyDescent="0.25">
      <c r="A47" s="68">
        <v>43</v>
      </c>
      <c r="B47" s="56" t="s">
        <v>385</v>
      </c>
      <c r="C47" s="38">
        <f>'KPI Summary'!B13</f>
        <v>218009</v>
      </c>
      <c r="D47" s="38">
        <f>Dashboard!J6</f>
        <v>218009</v>
      </c>
      <c r="E47" s="82">
        <f t="shared" si="2"/>
        <v>0</v>
      </c>
      <c r="F47" s="83">
        <v>0</v>
      </c>
      <c r="G47" s="25" t="str">
        <f t="shared" si="3"/>
        <v>PASS</v>
      </c>
      <c r="H47" s="26"/>
    </row>
    <row r="48" spans="1:8" x14ac:dyDescent="0.25">
      <c r="A48" s="68">
        <v>44</v>
      </c>
      <c r="B48" s="56" t="s">
        <v>386</v>
      </c>
      <c r="C48" s="38">
        <f>'KPI Summary'!B15</f>
        <v>520</v>
      </c>
      <c r="D48" s="38">
        <f>Dashboard!L6</f>
        <v>520</v>
      </c>
      <c r="E48" s="82">
        <f t="shared" si="2"/>
        <v>0</v>
      </c>
      <c r="F48" s="83">
        <v>0</v>
      </c>
      <c r="G48" s="25" t="str">
        <f t="shared" si="3"/>
        <v>PASS</v>
      </c>
      <c r="H48" s="26"/>
    </row>
    <row r="49" spans="1:8" x14ac:dyDescent="0.25">
      <c r="A49" s="68">
        <v>45</v>
      </c>
      <c r="B49" s="56" t="s">
        <v>387</v>
      </c>
      <c r="C49" s="91">
        <v>1046443.2</v>
      </c>
      <c r="D49" s="92">
        <f>'Savings Table'!D7</f>
        <v>1046443.2</v>
      </c>
      <c r="E49" s="82">
        <f t="shared" si="2"/>
        <v>0</v>
      </c>
      <c r="F49" s="83">
        <v>5.0000000000000001E-3</v>
      </c>
      <c r="G49" s="25" t="str">
        <f t="shared" si="3"/>
        <v>PASS</v>
      </c>
      <c r="H49" s="26"/>
    </row>
    <row r="50" spans="1:8" x14ac:dyDescent="0.25">
      <c r="A50" s="68">
        <v>46</v>
      </c>
      <c r="B50" s="56" t="s">
        <v>388</v>
      </c>
      <c r="C50" s="91">
        <v>1025191.2</v>
      </c>
      <c r="D50" s="92">
        <f>'Savings Table'!D8</f>
        <v>1025191.2</v>
      </c>
      <c r="E50" s="82">
        <f t="shared" si="2"/>
        <v>0</v>
      </c>
      <c r="F50" s="83">
        <v>5.0000000000000001E-3</v>
      </c>
      <c r="G50" s="25" t="str">
        <f t="shared" si="3"/>
        <v>PASS</v>
      </c>
      <c r="H50" s="26"/>
    </row>
    <row r="51" spans="1:8" x14ac:dyDescent="0.25">
      <c r="A51" s="68">
        <v>47</v>
      </c>
      <c r="B51" s="56" t="s">
        <v>389</v>
      </c>
      <c r="C51" s="91">
        <v>759628.80000000005</v>
      </c>
      <c r="D51" s="92">
        <f>'Savings Table'!D9</f>
        <v>759628.80000000005</v>
      </c>
      <c r="E51" s="82">
        <f t="shared" si="2"/>
        <v>0</v>
      </c>
      <c r="F51" s="83">
        <v>5.0000000000000001E-3</v>
      </c>
      <c r="G51" s="25" t="str">
        <f t="shared" si="3"/>
        <v>PASS</v>
      </c>
      <c r="H51" s="26"/>
    </row>
    <row r="52" spans="1:8" x14ac:dyDescent="0.25">
      <c r="A52" s="68">
        <v>48</v>
      </c>
      <c r="B52" s="56" t="s">
        <v>390</v>
      </c>
      <c r="C52" s="91">
        <v>341730.4</v>
      </c>
      <c r="D52" s="92">
        <f>'Savings Table'!D10</f>
        <v>341730.4</v>
      </c>
      <c r="E52" s="82">
        <f t="shared" si="2"/>
        <v>0</v>
      </c>
      <c r="F52" s="83">
        <v>5.0000000000000001E-3</v>
      </c>
      <c r="G52" s="25" t="str">
        <f t="shared" si="3"/>
        <v>PASS</v>
      </c>
      <c r="H52" s="26"/>
    </row>
    <row r="53" spans="1:8" x14ac:dyDescent="0.25">
      <c r="A53" s="68">
        <v>49</v>
      </c>
      <c r="B53" s="56" t="s">
        <v>391</v>
      </c>
      <c r="C53" s="91">
        <v>62312</v>
      </c>
      <c r="D53" s="92">
        <f>'Savings Table'!D11</f>
        <v>62312</v>
      </c>
      <c r="E53" s="82">
        <f t="shared" si="2"/>
        <v>0</v>
      </c>
      <c r="F53" s="83">
        <v>5.0000000000000001E-3</v>
      </c>
      <c r="G53" s="25" t="str">
        <f t="shared" si="3"/>
        <v>PASS</v>
      </c>
      <c r="H53" s="26"/>
    </row>
    <row r="54" spans="1:8" x14ac:dyDescent="0.25">
      <c r="A54" s="68">
        <v>50</v>
      </c>
      <c r="B54" s="56" t="s">
        <v>392</v>
      </c>
      <c r="C54" s="24">
        <v>0</v>
      </c>
      <c r="D54" s="23">
        <f>COUNTIF('Data Validation'!D4:D16,"FAIL")</f>
        <v>0</v>
      </c>
      <c r="E54" s="82">
        <f t="shared" si="2"/>
        <v>0</v>
      </c>
      <c r="F54" s="83">
        <v>0</v>
      </c>
      <c r="G54" s="25" t="str">
        <f t="shared" si="3"/>
        <v>PASS</v>
      </c>
      <c r="H54" s="26"/>
    </row>
  </sheetData>
  <mergeCells count="1">
    <mergeCell ref="D2:F2"/>
  </mergeCells>
  <conditionalFormatting sqref="G5:G54">
    <cfRule type="cellIs" dxfId="1" priority="2" operator="equal">
      <formula>"FAIL"</formula>
    </cfRule>
    <cfRule type="cellIs" dxfId="0" priority="3" operator="equal">
      <formula>"PASS"</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9"/>
  <sheetViews>
    <sheetView tabSelected="1" zoomScale="88" zoomScaleNormal="100" workbookViewId="0">
      <pane ySplit="3" topLeftCell="A4" activePane="bottomLeft" state="frozen"/>
      <selection pane="bottomLeft" activeCell="L10" sqref="L10"/>
    </sheetView>
  </sheetViews>
  <sheetFormatPr defaultColWidth="8.6640625" defaultRowHeight="13.2" x14ac:dyDescent="0.25"/>
  <cols>
    <col min="1" max="1" width="5" customWidth="1"/>
    <col min="2" max="2" width="12" customWidth="1"/>
    <col min="3" max="3" width="16" customWidth="1"/>
    <col min="4" max="4" width="22.109375" customWidth="1"/>
    <col min="5" max="5" width="18" customWidth="1"/>
    <col min="6" max="6" width="50" customWidth="1"/>
    <col min="7" max="8" width="36" customWidth="1"/>
    <col min="9" max="9" width="12" customWidth="1"/>
    <col min="10" max="10" width="22" customWidth="1"/>
  </cols>
  <sheetData>
    <row r="1" spans="1:10" ht="15" customHeight="1" x14ac:dyDescent="0.25">
      <c r="A1" s="93" t="s">
        <v>393</v>
      </c>
      <c r="B1" s="94"/>
      <c r="C1" s="94"/>
      <c r="D1" s="94"/>
      <c r="E1" s="94"/>
      <c r="F1" s="94"/>
      <c r="G1" s="94"/>
      <c r="H1" s="94"/>
      <c r="I1" s="94"/>
      <c r="J1" s="94"/>
    </row>
    <row r="2" spans="1:10" ht="15" customHeight="1" x14ac:dyDescent="0.25">
      <c r="A2" s="95" t="s">
        <v>394</v>
      </c>
      <c r="B2" s="94"/>
      <c r="C2" s="94"/>
      <c r="D2" s="94"/>
      <c r="E2" s="94"/>
      <c r="F2" s="94"/>
      <c r="G2" s="94"/>
      <c r="H2" s="94"/>
      <c r="I2" s="94"/>
      <c r="J2" s="94"/>
    </row>
    <row r="3" spans="1:10" ht="23.25" customHeight="1" x14ac:dyDescent="0.25">
      <c r="A3" s="96" t="s">
        <v>286</v>
      </c>
      <c r="B3" s="96" t="s">
        <v>101</v>
      </c>
      <c r="C3" s="96" t="s">
        <v>395</v>
      </c>
      <c r="D3" s="96" t="s">
        <v>396</v>
      </c>
      <c r="E3" s="96" t="s">
        <v>397</v>
      </c>
      <c r="F3" s="96" t="s">
        <v>398</v>
      </c>
      <c r="G3" s="96" t="s">
        <v>399</v>
      </c>
      <c r="H3" s="96" t="s">
        <v>400</v>
      </c>
      <c r="I3" s="96" t="s">
        <v>401</v>
      </c>
      <c r="J3" s="96" t="s">
        <v>402</v>
      </c>
    </row>
    <row r="4" spans="1:10" ht="34.5" customHeight="1" x14ac:dyDescent="0.25">
      <c r="A4" s="97">
        <v>1</v>
      </c>
      <c r="B4" s="98">
        <v>46034</v>
      </c>
      <c r="C4" s="97" t="s">
        <v>403</v>
      </c>
      <c r="D4" s="97" t="s">
        <v>404</v>
      </c>
      <c r="E4" s="97" t="s">
        <v>405</v>
      </c>
      <c r="F4" s="97" t="s">
        <v>406</v>
      </c>
      <c r="G4" s="97" t="s">
        <v>407</v>
      </c>
      <c r="H4" s="97" t="s">
        <v>408</v>
      </c>
      <c r="I4" s="97" t="s">
        <v>409</v>
      </c>
      <c r="J4" s="97" t="s">
        <v>410</v>
      </c>
    </row>
    <row r="5" spans="1:10" ht="15" customHeight="1" x14ac:dyDescent="0.25">
      <c r="A5" s="99">
        <v>2</v>
      </c>
      <c r="B5" s="100">
        <v>46294</v>
      </c>
      <c r="C5" s="101" t="s">
        <v>411</v>
      </c>
      <c r="D5" s="101" t="s">
        <v>412</v>
      </c>
      <c r="E5" s="101" t="s">
        <v>413</v>
      </c>
      <c r="F5" s="101" t="s">
        <v>414</v>
      </c>
      <c r="G5" s="101" t="s">
        <v>429</v>
      </c>
      <c r="H5" s="101" t="s">
        <v>444</v>
      </c>
      <c r="I5" s="101" t="s">
        <v>459</v>
      </c>
      <c r="J5" s="105" t="s">
        <v>461</v>
      </c>
    </row>
    <row r="6" spans="1:10" ht="15" customHeight="1" x14ac:dyDescent="0.25">
      <c r="A6" s="99">
        <v>3</v>
      </c>
      <c r="B6" s="100">
        <v>46294</v>
      </c>
      <c r="C6" s="101" t="s">
        <v>411</v>
      </c>
      <c r="D6" s="101" t="s">
        <v>412</v>
      </c>
      <c r="E6" s="101" t="s">
        <v>413</v>
      </c>
      <c r="F6" s="101" t="s">
        <v>415</v>
      </c>
      <c r="G6" s="101" t="s">
        <v>430</v>
      </c>
      <c r="H6" s="101" t="s">
        <v>445</v>
      </c>
      <c r="I6" s="101" t="s">
        <v>459</v>
      </c>
      <c r="J6" s="105" t="s">
        <v>461</v>
      </c>
    </row>
    <row r="7" spans="1:10" ht="15" customHeight="1" x14ac:dyDescent="0.25">
      <c r="A7" s="99">
        <v>4</v>
      </c>
      <c r="B7" s="100">
        <v>46295</v>
      </c>
      <c r="C7" s="101" t="s">
        <v>411</v>
      </c>
      <c r="D7" s="101" t="s">
        <v>412</v>
      </c>
      <c r="E7" s="101" t="s">
        <v>413</v>
      </c>
      <c r="F7" s="101" t="s">
        <v>416</v>
      </c>
      <c r="G7" s="101" t="s">
        <v>431</v>
      </c>
      <c r="H7" s="101" t="s">
        <v>446</v>
      </c>
      <c r="I7" s="101" t="s">
        <v>460</v>
      </c>
      <c r="J7" s="105" t="s">
        <v>461</v>
      </c>
    </row>
    <row r="8" spans="1:10" ht="15" customHeight="1" x14ac:dyDescent="0.25">
      <c r="A8" s="99">
        <v>5</v>
      </c>
      <c r="B8" s="100">
        <v>46295</v>
      </c>
      <c r="C8" s="101" t="s">
        <v>411</v>
      </c>
      <c r="D8" s="101" t="s">
        <v>412</v>
      </c>
      <c r="E8" s="101" t="s">
        <v>413</v>
      </c>
      <c r="F8" s="101" t="s">
        <v>417</v>
      </c>
      <c r="G8" s="101" t="s">
        <v>432</v>
      </c>
      <c r="H8" s="101" t="s">
        <v>447</v>
      </c>
      <c r="I8" s="101" t="s">
        <v>459</v>
      </c>
      <c r="J8" s="105" t="s">
        <v>461</v>
      </c>
    </row>
    <row r="9" spans="1:10" ht="15" customHeight="1" x14ac:dyDescent="0.25">
      <c r="A9" s="99">
        <v>6</v>
      </c>
      <c r="B9" s="100">
        <v>46295</v>
      </c>
      <c r="C9" s="101" t="s">
        <v>411</v>
      </c>
      <c r="D9" s="101" t="s">
        <v>412</v>
      </c>
      <c r="E9" s="101" t="s">
        <v>413</v>
      </c>
      <c r="F9" s="101" t="s">
        <v>418</v>
      </c>
      <c r="G9" s="101" t="s">
        <v>433</v>
      </c>
      <c r="H9" s="101" t="s">
        <v>448</v>
      </c>
      <c r="I9" s="101" t="s">
        <v>459</v>
      </c>
      <c r="J9" s="105" t="s">
        <v>461</v>
      </c>
    </row>
    <row r="10" spans="1:10" ht="15" customHeight="1" x14ac:dyDescent="0.25">
      <c r="A10" s="99">
        <v>7</v>
      </c>
      <c r="B10" s="100">
        <v>46296</v>
      </c>
      <c r="C10" s="101" t="s">
        <v>411</v>
      </c>
      <c r="D10" s="101" t="s">
        <v>412</v>
      </c>
      <c r="E10" s="101" t="s">
        <v>413</v>
      </c>
      <c r="F10" s="101" t="s">
        <v>419</v>
      </c>
      <c r="G10" s="101" t="s">
        <v>434</v>
      </c>
      <c r="H10" s="101" t="s">
        <v>449</v>
      </c>
      <c r="I10" s="101" t="s">
        <v>459</v>
      </c>
      <c r="J10" s="105" t="s">
        <v>461</v>
      </c>
    </row>
    <row r="11" spans="1:10" ht="15" customHeight="1" x14ac:dyDescent="0.25">
      <c r="A11" s="99">
        <v>8</v>
      </c>
      <c r="B11" s="100">
        <v>46296</v>
      </c>
      <c r="C11" s="101" t="s">
        <v>411</v>
      </c>
      <c r="D11" s="101" t="s">
        <v>412</v>
      </c>
      <c r="E11" s="101" t="s">
        <v>413</v>
      </c>
      <c r="F11" s="101" t="s">
        <v>420</v>
      </c>
      <c r="G11" s="101" t="s">
        <v>435</v>
      </c>
      <c r="H11" s="101" t="s">
        <v>450</v>
      </c>
      <c r="I11" s="101" t="s">
        <v>459</v>
      </c>
      <c r="J11" s="105" t="s">
        <v>461</v>
      </c>
    </row>
    <row r="12" spans="1:10" ht="15" customHeight="1" x14ac:dyDescent="0.25">
      <c r="A12" s="99">
        <v>9</v>
      </c>
      <c r="B12" s="100">
        <v>46296</v>
      </c>
      <c r="C12" s="101" t="s">
        <v>411</v>
      </c>
      <c r="D12" s="101" t="s">
        <v>412</v>
      </c>
      <c r="E12" s="101" t="s">
        <v>413</v>
      </c>
      <c r="F12" s="101" t="s">
        <v>421</v>
      </c>
      <c r="G12" s="101" t="s">
        <v>436</v>
      </c>
      <c r="H12" s="101" t="s">
        <v>451</v>
      </c>
      <c r="I12" s="101" t="s">
        <v>460</v>
      </c>
      <c r="J12" s="105" t="s">
        <v>461</v>
      </c>
    </row>
    <row r="13" spans="1:10" ht="15" customHeight="1" x14ac:dyDescent="0.25">
      <c r="A13" s="99">
        <v>10</v>
      </c>
      <c r="B13" s="100">
        <v>46296</v>
      </c>
      <c r="C13" s="101" t="s">
        <v>411</v>
      </c>
      <c r="D13" s="101" t="s">
        <v>412</v>
      </c>
      <c r="E13" s="101" t="s">
        <v>413</v>
      </c>
      <c r="F13" s="101" t="s">
        <v>422</v>
      </c>
      <c r="G13" s="101" t="s">
        <v>437</v>
      </c>
      <c r="H13" s="101" t="s">
        <v>452</v>
      </c>
      <c r="I13" s="101" t="s">
        <v>460</v>
      </c>
      <c r="J13" s="105" t="s">
        <v>461</v>
      </c>
    </row>
    <row r="14" spans="1:10" ht="15" customHeight="1" x14ac:dyDescent="0.25">
      <c r="A14" s="99">
        <v>11</v>
      </c>
      <c r="B14" s="100">
        <v>46297</v>
      </c>
      <c r="C14" s="101" t="s">
        <v>411</v>
      </c>
      <c r="D14" s="101" t="s">
        <v>412</v>
      </c>
      <c r="E14" s="101" t="s">
        <v>413</v>
      </c>
      <c r="F14" s="101" t="s">
        <v>423</v>
      </c>
      <c r="G14" s="101" t="s">
        <v>438</v>
      </c>
      <c r="H14" s="101" t="s">
        <v>453</v>
      </c>
      <c r="I14" s="101" t="s">
        <v>460</v>
      </c>
      <c r="J14" s="105" t="s">
        <v>461</v>
      </c>
    </row>
    <row r="15" spans="1:10" ht="15" customHeight="1" x14ac:dyDescent="0.25">
      <c r="A15" s="99">
        <v>12</v>
      </c>
      <c r="B15" s="100">
        <v>46297</v>
      </c>
      <c r="C15" s="101" t="s">
        <v>411</v>
      </c>
      <c r="D15" s="101" t="s">
        <v>412</v>
      </c>
      <c r="E15" s="101" t="s">
        <v>413</v>
      </c>
      <c r="F15" s="101" t="s">
        <v>424</v>
      </c>
      <c r="G15" s="101" t="s">
        <v>439</v>
      </c>
      <c r="H15" s="103" t="s">
        <v>454</v>
      </c>
      <c r="I15" s="101" t="s">
        <v>460</v>
      </c>
      <c r="J15" s="105" t="s">
        <v>461</v>
      </c>
    </row>
    <row r="16" spans="1:10" ht="15.6" customHeight="1" x14ac:dyDescent="0.25">
      <c r="A16" s="99">
        <v>13</v>
      </c>
      <c r="B16" s="100">
        <v>46297</v>
      </c>
      <c r="C16" s="101" t="s">
        <v>411</v>
      </c>
      <c r="D16" s="101" t="s">
        <v>412</v>
      </c>
      <c r="E16" s="101" t="s">
        <v>413</v>
      </c>
      <c r="F16" s="101" t="s">
        <v>425</v>
      </c>
      <c r="G16" s="104" t="s">
        <v>440</v>
      </c>
      <c r="H16" s="101" t="s">
        <v>455</v>
      </c>
      <c r="I16" s="101" t="s">
        <v>460</v>
      </c>
      <c r="J16" s="105" t="s">
        <v>461</v>
      </c>
    </row>
    <row r="17" spans="1:10" ht="15" customHeight="1" x14ac:dyDescent="0.25">
      <c r="A17" s="99">
        <v>14</v>
      </c>
      <c r="B17" s="100">
        <v>46297</v>
      </c>
      <c r="C17" s="101" t="s">
        <v>411</v>
      </c>
      <c r="D17" s="101" t="s">
        <v>412</v>
      </c>
      <c r="E17" s="101" t="s">
        <v>413</v>
      </c>
      <c r="F17" s="101" t="s">
        <v>426</v>
      </c>
      <c r="G17" s="104" t="s">
        <v>441</v>
      </c>
      <c r="H17" s="101" t="s">
        <v>456</v>
      </c>
      <c r="I17" s="101" t="s">
        <v>459</v>
      </c>
      <c r="J17" s="105" t="s">
        <v>461</v>
      </c>
    </row>
    <row r="18" spans="1:10" ht="15" customHeight="1" x14ac:dyDescent="0.25">
      <c r="A18" s="99">
        <v>15</v>
      </c>
      <c r="B18" s="100">
        <v>46298</v>
      </c>
      <c r="C18" s="101" t="s">
        <v>411</v>
      </c>
      <c r="D18" s="101" t="s">
        <v>412</v>
      </c>
      <c r="E18" s="101" t="s">
        <v>413</v>
      </c>
      <c r="F18" s="101" t="s">
        <v>427</v>
      </c>
      <c r="G18" s="103" t="s">
        <v>442</v>
      </c>
      <c r="H18" s="101" t="s">
        <v>457</v>
      </c>
      <c r="I18" s="101" t="s">
        <v>459</v>
      </c>
      <c r="J18" s="105" t="s">
        <v>461</v>
      </c>
    </row>
    <row r="19" spans="1:10" ht="15" customHeight="1" x14ac:dyDescent="0.25">
      <c r="A19" s="99">
        <v>16</v>
      </c>
      <c r="B19" s="100">
        <v>46298</v>
      </c>
      <c r="C19" s="101" t="s">
        <v>411</v>
      </c>
      <c r="D19" s="101" t="s">
        <v>412</v>
      </c>
      <c r="E19" s="101" t="s">
        <v>413</v>
      </c>
      <c r="F19" s="101" t="s">
        <v>428</v>
      </c>
      <c r="G19" s="101" t="s">
        <v>443</v>
      </c>
      <c r="H19" s="101" t="s">
        <v>458</v>
      </c>
      <c r="I19" s="101" t="s">
        <v>460</v>
      </c>
      <c r="J19" s="105" t="s">
        <v>461</v>
      </c>
    </row>
    <row r="20" spans="1:10" ht="15" customHeight="1" x14ac:dyDescent="0.25">
      <c r="A20" s="99">
        <v>17</v>
      </c>
      <c r="B20" s="102"/>
      <c r="C20" s="101"/>
      <c r="D20" s="101"/>
      <c r="E20" s="101"/>
      <c r="F20" s="101"/>
      <c r="G20" s="101"/>
      <c r="H20" s="101"/>
      <c r="I20" s="101"/>
      <c r="J20" s="101"/>
    </row>
    <row r="21" spans="1:10" ht="15" customHeight="1" x14ac:dyDescent="0.25">
      <c r="A21" s="99">
        <v>18</v>
      </c>
      <c r="B21" s="102"/>
      <c r="C21" s="101"/>
      <c r="D21" s="101"/>
      <c r="E21" s="101"/>
      <c r="F21" s="101"/>
      <c r="G21" s="101"/>
      <c r="H21" s="101"/>
      <c r="I21" s="101"/>
      <c r="J21" s="101"/>
    </row>
    <row r="22" spans="1:10" ht="15" customHeight="1" x14ac:dyDescent="0.25">
      <c r="A22" s="99">
        <v>19</v>
      </c>
      <c r="B22" s="102"/>
      <c r="C22" s="101"/>
      <c r="D22" s="101"/>
      <c r="E22" s="101"/>
      <c r="F22" s="101"/>
      <c r="G22" s="101"/>
      <c r="H22" s="101"/>
      <c r="I22" s="101"/>
      <c r="J22" s="101"/>
    </row>
    <row r="23" spans="1:10" ht="15" customHeight="1" x14ac:dyDescent="0.25">
      <c r="A23" s="99">
        <v>20</v>
      </c>
      <c r="B23" s="102"/>
      <c r="C23" s="101"/>
      <c r="D23" s="101"/>
      <c r="E23" s="101"/>
      <c r="F23" s="101"/>
      <c r="G23" s="101"/>
      <c r="H23" s="101"/>
      <c r="I23" s="101"/>
      <c r="J23" s="101"/>
    </row>
    <row r="24" spans="1:10" ht="15" customHeight="1" x14ac:dyDescent="0.25">
      <c r="A24" s="99">
        <v>21</v>
      </c>
      <c r="B24" s="102"/>
      <c r="C24" s="101"/>
      <c r="D24" s="101"/>
      <c r="E24" s="101"/>
      <c r="F24" s="101"/>
      <c r="G24" s="101"/>
      <c r="H24" s="101"/>
      <c r="I24" s="101"/>
      <c r="J24" s="101"/>
    </row>
    <row r="25" spans="1:10" ht="15" customHeight="1" x14ac:dyDescent="0.25">
      <c r="A25" s="99">
        <v>22</v>
      </c>
      <c r="B25" s="102"/>
      <c r="C25" s="101"/>
      <c r="D25" s="101"/>
      <c r="E25" s="101"/>
      <c r="F25" s="101"/>
      <c r="G25" s="101"/>
      <c r="H25" s="101"/>
      <c r="I25" s="101"/>
      <c r="J25" s="101"/>
    </row>
    <row r="26" spans="1:10" ht="15" customHeight="1" x14ac:dyDescent="0.25">
      <c r="A26" s="99">
        <v>23</v>
      </c>
      <c r="B26" s="102"/>
      <c r="C26" s="101"/>
      <c r="D26" s="101"/>
      <c r="E26" s="101"/>
      <c r="F26" s="101"/>
      <c r="G26" s="101"/>
      <c r="H26" s="101"/>
      <c r="I26" s="101"/>
      <c r="J26" s="101"/>
    </row>
    <row r="27" spans="1:10" ht="15" customHeight="1" x14ac:dyDescent="0.25">
      <c r="A27" s="99">
        <v>24</v>
      </c>
      <c r="B27" s="102"/>
      <c r="C27" s="101"/>
      <c r="D27" s="101"/>
      <c r="E27" s="101"/>
      <c r="F27" s="101"/>
      <c r="G27" s="101"/>
      <c r="H27" s="101"/>
      <c r="I27" s="101"/>
      <c r="J27" s="101"/>
    </row>
    <row r="28" spans="1:10" ht="15" customHeight="1" x14ac:dyDescent="0.25">
      <c r="A28" s="99">
        <v>25</v>
      </c>
      <c r="B28" s="102"/>
      <c r="C28" s="101"/>
      <c r="D28" s="101"/>
      <c r="E28" s="101"/>
      <c r="F28" s="101"/>
      <c r="G28" s="101"/>
      <c r="H28" s="101"/>
      <c r="I28" s="101"/>
      <c r="J28" s="101"/>
    </row>
    <row r="29" spans="1:10" ht="15" customHeight="1" x14ac:dyDescent="0.25">
      <c r="A29" s="99">
        <v>26</v>
      </c>
      <c r="B29" s="102"/>
      <c r="C29" s="101"/>
      <c r="D29" s="101"/>
      <c r="E29" s="101"/>
      <c r="F29" s="101"/>
      <c r="G29" s="101"/>
      <c r="H29" s="101"/>
      <c r="I29" s="101"/>
      <c r="J29" s="101"/>
    </row>
  </sheetData>
  <dataValidations count="1">
    <dataValidation type="list" allowBlank="1" sqref="I5:I29" xr:uid="{00000000-0002-0000-0D00-000000000000}">
      <formula1>"Kept,Rejected,Partly kept"</formula1>
      <formula2>0</formula2>
    </dataValidation>
  </dataValidations>
  <hyperlinks>
    <hyperlink ref="J5" r:id="rId1" xr:uid="{A58D83CC-236D-4DF4-8B54-C612095AA2B4}"/>
    <hyperlink ref="J6:J19" r:id="rId2" display="AI Prompt – ChatGPT Evidence" xr:uid="{12CA5A39-8B82-4032-B5F7-49F4B9C892F8}"/>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Dashboard</vt:lpstr>
      <vt:lpstr>Task Brief</vt:lpstr>
      <vt:lpstr>Daily Energy</vt:lpstr>
      <vt:lpstr>Data Dictionary</vt:lpstr>
      <vt:lpstr>Data Validation</vt:lpstr>
      <vt:lpstr>Analysis Data</vt:lpstr>
      <vt:lpstr>KPI Summary</vt:lpstr>
      <vt:lpstr>Monthly Analysis</vt:lpstr>
      <vt:lpstr>Analysis Summary</vt:lpstr>
      <vt:lpstr>Wasteful Days</vt:lpstr>
      <vt:lpstr>Savings Table</vt:lpstr>
      <vt:lpstr>Energy Plan</vt:lpstr>
      <vt:lpstr>QA Checks</vt:lpstr>
      <vt:lpstr>AI Use Log</vt:lpstr>
      <vt:lpstr>Dashboard!Print_Area</vt:lpstr>
      <vt:lpstr>'Energy Plan'!Print_Area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Divyanshi Verma</cp:lastModifiedBy>
  <cp:revision>1</cp:revision>
  <dcterms:created xsi:type="dcterms:W3CDTF">2026-09-25T16:15:26Z</dcterms:created>
  <dcterms:modified xsi:type="dcterms:W3CDTF">2026-10-03T11:07:52Z</dcterms:modified>
  <dc:language>en-US</dc:language>
</cp:coreProperties>
</file>